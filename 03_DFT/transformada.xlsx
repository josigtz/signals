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novo ideapad\Documentos\Señales\Practicas\DFT\"/>
    </mc:Choice>
  </mc:AlternateContent>
  <xr:revisionPtr revIDLastSave="0" documentId="13_ncr:1_{CC321E4D-561E-46EF-A819-121381889EE4}" xr6:coauthVersionLast="47" xr6:coauthVersionMax="47" xr10:uidLastSave="{00000000-0000-0000-0000-000000000000}"/>
  <bookViews>
    <workbookView xWindow="-28920" yWindow="-120" windowWidth="29040" windowHeight="15840" activeTab="3" xr2:uid="{DBE857F5-7D75-4D83-A0E6-1E9755F8D44A}"/>
  </bookViews>
  <sheets>
    <sheet name="Gráfico1" sheetId="2" r:id="rId1"/>
    <sheet name="Gráfico2" sheetId="3" r:id="rId2"/>
    <sheet name="Hoja1" sheetId="1" r:id="rId3"/>
    <sheet name="Hoja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C4" i="4"/>
  <c r="AC5" i="4" l="1"/>
  <c r="AB5" i="4"/>
  <c r="AA5" i="4"/>
  <c r="AH5" i="4"/>
  <c r="Z5" i="4"/>
  <c r="AE5" i="4"/>
  <c r="W5" i="4"/>
  <c r="V5" i="4"/>
  <c r="U5" i="4"/>
  <c r="T5" i="4"/>
  <c r="S5" i="4"/>
  <c r="R5" i="4"/>
  <c r="Q5" i="4"/>
  <c r="P5" i="4"/>
  <c r="O5" i="4"/>
  <c r="AG5" i="4"/>
  <c r="N5" i="4"/>
  <c r="M5" i="4"/>
  <c r="L5" i="4"/>
  <c r="K5" i="4"/>
  <c r="J5" i="4"/>
  <c r="I5" i="4"/>
  <c r="H5" i="4"/>
  <c r="G5" i="4"/>
  <c r="F5" i="4"/>
  <c r="D5" i="4"/>
  <c r="E5" i="4"/>
  <c r="AF5" i="4"/>
  <c r="X5" i="4"/>
  <c r="AD5" i="4"/>
  <c r="Y5" i="4"/>
  <c r="C5" i="4"/>
  <c r="AI5" i="4" s="1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E2" i="4"/>
  <c r="AH6" i="4" l="1"/>
  <c r="AA6" i="4"/>
  <c r="AB6" i="4"/>
  <c r="AC6" i="4"/>
  <c r="AD6" i="4"/>
  <c r="AG6" i="4"/>
  <c r="Y6" i="4"/>
  <c r="AF6" i="4"/>
  <c r="X6" i="4"/>
  <c r="U6" i="4"/>
  <c r="S6" i="4"/>
  <c r="Q6" i="4"/>
  <c r="O6" i="4"/>
  <c r="M6" i="4"/>
  <c r="L6" i="4"/>
  <c r="K6" i="4"/>
  <c r="J6" i="4"/>
  <c r="I6" i="4"/>
  <c r="D6" i="4"/>
  <c r="E6" i="4"/>
  <c r="Z6" i="4"/>
  <c r="C6" i="4"/>
  <c r="W6" i="4"/>
  <c r="AE6" i="4"/>
  <c r="P6" i="4"/>
  <c r="F6" i="4"/>
  <c r="H6" i="4"/>
  <c r="R6" i="4"/>
  <c r="T6" i="4"/>
  <c r="V6" i="4"/>
  <c r="N6" i="4"/>
  <c r="G6" i="4"/>
  <c r="AA14" i="4"/>
  <c r="AB14" i="4"/>
  <c r="AC14" i="4"/>
  <c r="AD14" i="4"/>
  <c r="AG14" i="4"/>
  <c r="Y14" i="4"/>
  <c r="AH14" i="4"/>
  <c r="V14" i="4"/>
  <c r="T14" i="4"/>
  <c r="R14" i="4"/>
  <c r="P14" i="4"/>
  <c r="H14" i="4"/>
  <c r="G14" i="4"/>
  <c r="F14" i="4"/>
  <c r="X14" i="4"/>
  <c r="S14" i="4"/>
  <c r="N14" i="4"/>
  <c r="M14" i="4"/>
  <c r="L14" i="4"/>
  <c r="K14" i="4"/>
  <c r="J14" i="4"/>
  <c r="I14" i="4"/>
  <c r="D14" i="4"/>
  <c r="E14" i="4"/>
  <c r="Q14" i="4"/>
  <c r="AE14" i="4"/>
  <c r="U14" i="4"/>
  <c r="O14" i="4"/>
  <c r="AF14" i="4"/>
  <c r="Z14" i="4"/>
  <c r="W14" i="4"/>
  <c r="AA22" i="4"/>
  <c r="AB22" i="4"/>
  <c r="AC22" i="4"/>
  <c r="AD22" i="4"/>
  <c r="AG22" i="4"/>
  <c r="Y22" i="4"/>
  <c r="Z22" i="4"/>
  <c r="H22" i="4"/>
  <c r="G22" i="4"/>
  <c r="F22" i="4"/>
  <c r="N22" i="4"/>
  <c r="M22" i="4"/>
  <c r="L22" i="4"/>
  <c r="K22" i="4"/>
  <c r="J22" i="4"/>
  <c r="I22" i="4"/>
  <c r="D22" i="4"/>
  <c r="E22" i="4"/>
  <c r="AF22" i="4"/>
  <c r="W22" i="4"/>
  <c r="AH22" i="4"/>
  <c r="V22" i="4"/>
  <c r="T22" i="4"/>
  <c r="R22" i="4"/>
  <c r="P22" i="4"/>
  <c r="X22" i="4"/>
  <c r="S22" i="4"/>
  <c r="O22" i="4"/>
  <c r="AE22" i="4"/>
  <c r="U22" i="4"/>
  <c r="Q22" i="4"/>
  <c r="AA30" i="4"/>
  <c r="AB30" i="4"/>
  <c r="AC30" i="4"/>
  <c r="AD30" i="4"/>
  <c r="AG30" i="4"/>
  <c r="Y30" i="4"/>
  <c r="AE30" i="4"/>
  <c r="H30" i="4"/>
  <c r="G30" i="4"/>
  <c r="F30" i="4"/>
  <c r="N30" i="4"/>
  <c r="M30" i="4"/>
  <c r="L30" i="4"/>
  <c r="K30" i="4"/>
  <c r="J30" i="4"/>
  <c r="I30" i="4"/>
  <c r="D30" i="4"/>
  <c r="E30" i="4"/>
  <c r="X30" i="4"/>
  <c r="U30" i="4"/>
  <c r="S30" i="4"/>
  <c r="Q30" i="4"/>
  <c r="O30" i="4"/>
  <c r="Z30" i="4"/>
  <c r="AH30" i="4"/>
  <c r="V30" i="4"/>
  <c r="T30" i="4"/>
  <c r="R30" i="4"/>
  <c r="P30" i="4"/>
  <c r="AF30" i="4"/>
  <c r="W30" i="4"/>
  <c r="AB29" i="4"/>
  <c r="AC29" i="4"/>
  <c r="AD29" i="4"/>
  <c r="AE29" i="4"/>
  <c r="W29" i="4"/>
  <c r="AH29" i="4"/>
  <c r="Z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D29" i="4"/>
  <c r="E29" i="4"/>
  <c r="AG29" i="4"/>
  <c r="X29" i="4"/>
  <c r="AF29" i="4"/>
  <c r="Y29" i="4"/>
  <c r="AA29" i="4"/>
  <c r="G29" i="4"/>
  <c r="H29" i="4"/>
  <c r="F29" i="4"/>
  <c r="AH7" i="4"/>
  <c r="Z7" i="4"/>
  <c r="V7" i="4"/>
  <c r="U7" i="4"/>
  <c r="T7" i="4"/>
  <c r="S7" i="4"/>
  <c r="R7" i="4"/>
  <c r="Q7" i="4"/>
  <c r="P7" i="4"/>
  <c r="O7" i="4"/>
  <c r="N7" i="4"/>
  <c r="AA7" i="4"/>
  <c r="AB7" i="4"/>
  <c r="AC7" i="4"/>
  <c r="AF7" i="4"/>
  <c r="X7" i="4"/>
  <c r="AE7" i="4"/>
  <c r="AG7" i="4"/>
  <c r="H7" i="4"/>
  <c r="G7" i="4"/>
  <c r="F7" i="4"/>
  <c r="C7" i="4"/>
  <c r="M7" i="4"/>
  <c r="L7" i="4"/>
  <c r="K7" i="4"/>
  <c r="J7" i="4"/>
  <c r="I7" i="4"/>
  <c r="D7" i="4"/>
  <c r="E7" i="4"/>
  <c r="AD7" i="4"/>
  <c r="Y7" i="4"/>
  <c r="W7" i="4"/>
  <c r="AG16" i="4"/>
  <c r="Y16" i="4"/>
  <c r="AH16" i="4"/>
  <c r="Z16" i="4"/>
  <c r="V16" i="4"/>
  <c r="U16" i="4"/>
  <c r="T16" i="4"/>
  <c r="S16" i="4"/>
  <c r="R16" i="4"/>
  <c r="Q16" i="4"/>
  <c r="P16" i="4"/>
  <c r="O16" i="4"/>
  <c r="AA16" i="4"/>
  <c r="AB16" i="4"/>
  <c r="AE16" i="4"/>
  <c r="W16" i="4"/>
  <c r="AF16" i="4"/>
  <c r="AC16" i="4"/>
  <c r="H16" i="4"/>
  <c r="G16" i="4"/>
  <c r="F16" i="4"/>
  <c r="N16" i="4"/>
  <c r="M16" i="4"/>
  <c r="L16" i="4"/>
  <c r="K16" i="4"/>
  <c r="J16" i="4"/>
  <c r="I16" i="4"/>
  <c r="D16" i="4"/>
  <c r="E16" i="4"/>
  <c r="AD16" i="4"/>
  <c r="X16" i="4"/>
  <c r="AG24" i="4"/>
  <c r="Y24" i="4"/>
  <c r="AH24" i="4"/>
  <c r="Z24" i="4"/>
  <c r="V24" i="4"/>
  <c r="U24" i="4"/>
  <c r="T24" i="4"/>
  <c r="S24" i="4"/>
  <c r="R24" i="4"/>
  <c r="Q24" i="4"/>
  <c r="P24" i="4"/>
  <c r="O24" i="4"/>
  <c r="AA24" i="4"/>
  <c r="AB24" i="4"/>
  <c r="AE24" i="4"/>
  <c r="W24" i="4"/>
  <c r="X24" i="4"/>
  <c r="AD24" i="4"/>
  <c r="H24" i="4"/>
  <c r="G24" i="4"/>
  <c r="F24" i="4"/>
  <c r="AF24" i="4"/>
  <c r="N24" i="4"/>
  <c r="M24" i="4"/>
  <c r="L24" i="4"/>
  <c r="K24" i="4"/>
  <c r="J24" i="4"/>
  <c r="I24" i="4"/>
  <c r="D24" i="4"/>
  <c r="E24" i="4"/>
  <c r="AC24" i="4"/>
  <c r="AG32" i="4"/>
  <c r="Y32" i="4"/>
  <c r="AH32" i="4"/>
  <c r="Z32" i="4"/>
  <c r="V32" i="4"/>
  <c r="U32" i="4"/>
  <c r="T32" i="4"/>
  <c r="S32" i="4"/>
  <c r="R32" i="4"/>
  <c r="Q32" i="4"/>
  <c r="P32" i="4"/>
  <c r="O32" i="4"/>
  <c r="AA32" i="4"/>
  <c r="AB32" i="4"/>
  <c r="AE32" i="4"/>
  <c r="W32" i="4"/>
  <c r="AC32" i="4"/>
  <c r="H32" i="4"/>
  <c r="G32" i="4"/>
  <c r="F32" i="4"/>
  <c r="X32" i="4"/>
  <c r="N32" i="4"/>
  <c r="M32" i="4"/>
  <c r="L32" i="4"/>
  <c r="K32" i="4"/>
  <c r="J32" i="4"/>
  <c r="I32" i="4"/>
  <c r="D32" i="4"/>
  <c r="E32" i="4"/>
  <c r="AF32" i="4"/>
  <c r="AD32" i="4"/>
  <c r="AB13" i="4"/>
  <c r="AC13" i="4"/>
  <c r="AD13" i="4"/>
  <c r="AE13" i="4"/>
  <c r="W13" i="4"/>
  <c r="AH13" i="4"/>
  <c r="Z13" i="4"/>
  <c r="V13" i="4"/>
  <c r="U13" i="4"/>
  <c r="T13" i="4"/>
  <c r="S13" i="4"/>
  <c r="R13" i="4"/>
  <c r="Q13" i="4"/>
  <c r="P13" i="4"/>
  <c r="O13" i="4"/>
  <c r="Y13" i="4"/>
  <c r="N13" i="4"/>
  <c r="M13" i="4"/>
  <c r="L13" i="4"/>
  <c r="K13" i="4"/>
  <c r="J13" i="4"/>
  <c r="I13" i="4"/>
  <c r="D13" i="4"/>
  <c r="E13" i="4"/>
  <c r="AA13" i="4"/>
  <c r="AG13" i="4"/>
  <c r="X13" i="4"/>
  <c r="AF13" i="4"/>
  <c r="H13" i="4"/>
  <c r="F13" i="4"/>
  <c r="G13" i="4"/>
  <c r="AH23" i="4"/>
  <c r="Z23" i="4"/>
  <c r="V23" i="4"/>
  <c r="U23" i="4"/>
  <c r="T23" i="4"/>
  <c r="S23" i="4"/>
  <c r="R23" i="4"/>
  <c r="Q23" i="4"/>
  <c r="P23" i="4"/>
  <c r="O23" i="4"/>
  <c r="AA23" i="4"/>
  <c r="AB23" i="4"/>
  <c r="AC23" i="4"/>
  <c r="AF23" i="4"/>
  <c r="X23" i="4"/>
  <c r="AD23" i="4"/>
  <c r="H23" i="4"/>
  <c r="G23" i="4"/>
  <c r="F23" i="4"/>
  <c r="N23" i="4"/>
  <c r="M23" i="4"/>
  <c r="L23" i="4"/>
  <c r="K23" i="4"/>
  <c r="J23" i="4"/>
  <c r="I23" i="4"/>
  <c r="D23" i="4"/>
  <c r="E23" i="4"/>
  <c r="W23" i="4"/>
  <c r="Y23" i="4"/>
  <c r="AE23" i="4"/>
  <c r="AG23" i="4"/>
  <c r="AG8" i="4"/>
  <c r="Y8" i="4"/>
  <c r="AH8" i="4"/>
  <c r="Z8" i="4"/>
  <c r="V8" i="4"/>
  <c r="U8" i="4"/>
  <c r="T8" i="4"/>
  <c r="S8" i="4"/>
  <c r="R8" i="4"/>
  <c r="Q8" i="4"/>
  <c r="P8" i="4"/>
  <c r="O8" i="4"/>
  <c r="N8" i="4"/>
  <c r="AA8" i="4"/>
  <c r="AB8" i="4"/>
  <c r="AE8" i="4"/>
  <c r="W8" i="4"/>
  <c r="X8" i="4"/>
  <c r="H8" i="4"/>
  <c r="G8" i="4"/>
  <c r="F8" i="4"/>
  <c r="M8" i="4"/>
  <c r="L8" i="4"/>
  <c r="K8" i="4"/>
  <c r="J8" i="4"/>
  <c r="I8" i="4"/>
  <c r="D8" i="4"/>
  <c r="E8" i="4"/>
  <c r="AD8" i="4"/>
  <c r="AC8" i="4"/>
  <c r="AF8" i="4"/>
  <c r="AF9" i="4"/>
  <c r="X9" i="4"/>
  <c r="AG9" i="4"/>
  <c r="Y9" i="4"/>
  <c r="AH9" i="4"/>
  <c r="Z9" i="4"/>
  <c r="V9" i="4"/>
  <c r="U9" i="4"/>
  <c r="T9" i="4"/>
  <c r="S9" i="4"/>
  <c r="R9" i="4"/>
  <c r="Q9" i="4"/>
  <c r="P9" i="4"/>
  <c r="O9" i="4"/>
  <c r="N9" i="4"/>
  <c r="AA9" i="4"/>
  <c r="AD9" i="4"/>
  <c r="AC9" i="4"/>
  <c r="AE9" i="4"/>
  <c r="M9" i="4"/>
  <c r="AB9" i="4"/>
  <c r="H9" i="4"/>
  <c r="G9" i="4"/>
  <c r="F9" i="4"/>
  <c r="W9" i="4"/>
  <c r="D9" i="4"/>
  <c r="K9" i="4"/>
  <c r="I9" i="4"/>
  <c r="L9" i="4"/>
  <c r="J9" i="4"/>
  <c r="E9" i="4"/>
  <c r="AF17" i="4"/>
  <c r="X17" i="4"/>
  <c r="AG17" i="4"/>
  <c r="Y17" i="4"/>
  <c r="AH17" i="4"/>
  <c r="Z17" i="4"/>
  <c r="V17" i="4"/>
  <c r="U17" i="4"/>
  <c r="T17" i="4"/>
  <c r="S17" i="4"/>
  <c r="R17" i="4"/>
  <c r="Q17" i="4"/>
  <c r="P17" i="4"/>
  <c r="O17" i="4"/>
  <c r="AA17" i="4"/>
  <c r="AD17" i="4"/>
  <c r="N17" i="4"/>
  <c r="W17" i="4"/>
  <c r="AE17" i="4"/>
  <c r="AC17" i="4"/>
  <c r="H17" i="4"/>
  <c r="G17" i="4"/>
  <c r="F17" i="4"/>
  <c r="M17" i="4"/>
  <c r="AB17" i="4"/>
  <c r="E17" i="4"/>
  <c r="L17" i="4"/>
  <c r="J17" i="4"/>
  <c r="I17" i="4"/>
  <c r="K17" i="4"/>
  <c r="D17" i="4"/>
  <c r="AF25" i="4"/>
  <c r="X25" i="4"/>
  <c r="AG25" i="4"/>
  <c r="Y25" i="4"/>
  <c r="AH25" i="4"/>
  <c r="Z25" i="4"/>
  <c r="V25" i="4"/>
  <c r="U25" i="4"/>
  <c r="T25" i="4"/>
  <c r="S25" i="4"/>
  <c r="R25" i="4"/>
  <c r="Q25" i="4"/>
  <c r="P25" i="4"/>
  <c r="O25" i="4"/>
  <c r="AA25" i="4"/>
  <c r="AD25" i="4"/>
  <c r="M25" i="4"/>
  <c r="AB25" i="4"/>
  <c r="H25" i="4"/>
  <c r="G25" i="4"/>
  <c r="F25" i="4"/>
  <c r="W25" i="4"/>
  <c r="N25" i="4"/>
  <c r="AC25" i="4"/>
  <c r="AE25" i="4"/>
  <c r="K25" i="4"/>
  <c r="I25" i="4"/>
  <c r="D25" i="4"/>
  <c r="L25" i="4"/>
  <c r="J25" i="4"/>
  <c r="E25" i="4"/>
  <c r="AF33" i="4"/>
  <c r="X33" i="4"/>
  <c r="AG33" i="4"/>
  <c r="Y33" i="4"/>
  <c r="AH33" i="4"/>
  <c r="Z33" i="4"/>
  <c r="V33" i="4"/>
  <c r="U33" i="4"/>
  <c r="T33" i="4"/>
  <c r="S33" i="4"/>
  <c r="R33" i="4"/>
  <c r="Q33" i="4"/>
  <c r="P33" i="4"/>
  <c r="O33" i="4"/>
  <c r="AA33" i="4"/>
  <c r="AD33" i="4"/>
  <c r="AC33" i="4"/>
  <c r="AE33" i="4"/>
  <c r="N33" i="4"/>
  <c r="M33" i="4"/>
  <c r="H33" i="4"/>
  <c r="G33" i="4"/>
  <c r="F33" i="4"/>
  <c r="AB33" i="4"/>
  <c r="K33" i="4"/>
  <c r="I33" i="4"/>
  <c r="D33" i="4"/>
  <c r="W33" i="4"/>
  <c r="L33" i="4"/>
  <c r="J33" i="4"/>
  <c r="E33" i="4"/>
  <c r="AB21" i="4"/>
  <c r="AC21" i="4"/>
  <c r="AD21" i="4"/>
  <c r="AE21" i="4"/>
  <c r="W21" i="4"/>
  <c r="AH21" i="4"/>
  <c r="Z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D21" i="4"/>
  <c r="E21" i="4"/>
  <c r="AA21" i="4"/>
  <c r="AF21" i="4"/>
  <c r="Y21" i="4"/>
  <c r="AG21" i="4"/>
  <c r="X21" i="4"/>
  <c r="H21" i="4"/>
  <c r="F21" i="4"/>
  <c r="G21" i="4"/>
  <c r="AH31" i="4"/>
  <c r="Z31" i="4"/>
  <c r="V31" i="4"/>
  <c r="U31" i="4"/>
  <c r="T31" i="4"/>
  <c r="S31" i="4"/>
  <c r="R31" i="4"/>
  <c r="Q31" i="4"/>
  <c r="P31" i="4"/>
  <c r="O31" i="4"/>
  <c r="AA31" i="4"/>
  <c r="AB31" i="4"/>
  <c r="AC31" i="4"/>
  <c r="AF31" i="4"/>
  <c r="X31" i="4"/>
  <c r="AD31" i="4"/>
  <c r="AE31" i="4"/>
  <c r="H31" i="4"/>
  <c r="G31" i="4"/>
  <c r="F31" i="4"/>
  <c r="AG31" i="4"/>
  <c r="N31" i="4"/>
  <c r="M31" i="4"/>
  <c r="L31" i="4"/>
  <c r="K31" i="4"/>
  <c r="J31" i="4"/>
  <c r="I31" i="4"/>
  <c r="D31" i="4"/>
  <c r="E31" i="4"/>
  <c r="W31" i="4"/>
  <c r="Y31" i="4"/>
  <c r="AE10" i="4"/>
  <c r="W10" i="4"/>
  <c r="AF10" i="4"/>
  <c r="X10" i="4"/>
  <c r="AG10" i="4"/>
  <c r="Y10" i="4"/>
  <c r="AH10" i="4"/>
  <c r="Z10" i="4"/>
  <c r="V10" i="4"/>
  <c r="U10" i="4"/>
  <c r="T10" i="4"/>
  <c r="S10" i="4"/>
  <c r="R10" i="4"/>
  <c r="Q10" i="4"/>
  <c r="P10" i="4"/>
  <c r="O10" i="4"/>
  <c r="N10" i="4"/>
  <c r="AC10" i="4"/>
  <c r="AB10" i="4"/>
  <c r="AA10" i="4"/>
  <c r="G10" i="4"/>
  <c r="AD10" i="4"/>
  <c r="K10" i="4"/>
  <c r="I10" i="4"/>
  <c r="D10" i="4"/>
  <c r="M10" i="4"/>
  <c r="H10" i="4"/>
  <c r="F10" i="4"/>
  <c r="L10" i="4"/>
  <c r="J10" i="4"/>
  <c r="E10" i="4"/>
  <c r="AE18" i="4"/>
  <c r="W18" i="4"/>
  <c r="AF18" i="4"/>
  <c r="X18" i="4"/>
  <c r="AG18" i="4"/>
  <c r="Y18" i="4"/>
  <c r="AH18" i="4"/>
  <c r="Z18" i="4"/>
  <c r="V18" i="4"/>
  <c r="U18" i="4"/>
  <c r="T18" i="4"/>
  <c r="S18" i="4"/>
  <c r="R18" i="4"/>
  <c r="Q18" i="4"/>
  <c r="P18" i="4"/>
  <c r="O18" i="4"/>
  <c r="AC18" i="4"/>
  <c r="AD18" i="4"/>
  <c r="AA18" i="4"/>
  <c r="AB18" i="4"/>
  <c r="N18" i="4"/>
  <c r="M18" i="4"/>
  <c r="H18" i="4"/>
  <c r="F18" i="4"/>
  <c r="E18" i="4"/>
  <c r="G18" i="4"/>
  <c r="L18" i="4"/>
  <c r="J18" i="4"/>
  <c r="K18" i="4"/>
  <c r="I18" i="4"/>
  <c r="D18" i="4"/>
  <c r="AE26" i="4"/>
  <c r="W26" i="4"/>
  <c r="AF26" i="4"/>
  <c r="X26" i="4"/>
  <c r="AG26" i="4"/>
  <c r="Y26" i="4"/>
  <c r="AH26" i="4"/>
  <c r="Z26" i="4"/>
  <c r="V26" i="4"/>
  <c r="U26" i="4"/>
  <c r="T26" i="4"/>
  <c r="S26" i="4"/>
  <c r="R26" i="4"/>
  <c r="Q26" i="4"/>
  <c r="P26" i="4"/>
  <c r="O26" i="4"/>
  <c r="AC26" i="4"/>
  <c r="AB26" i="4"/>
  <c r="AD26" i="4"/>
  <c r="G26" i="4"/>
  <c r="K26" i="4"/>
  <c r="I26" i="4"/>
  <c r="D26" i="4"/>
  <c r="L26" i="4"/>
  <c r="AA26" i="4"/>
  <c r="N26" i="4"/>
  <c r="M26" i="4"/>
  <c r="H26" i="4"/>
  <c r="F26" i="4"/>
  <c r="E26" i="4"/>
  <c r="J26" i="4"/>
  <c r="AE34" i="4"/>
  <c r="W34" i="4"/>
  <c r="AF34" i="4"/>
  <c r="X34" i="4"/>
  <c r="AG34" i="4"/>
  <c r="Y34" i="4"/>
  <c r="AH34" i="4"/>
  <c r="Z34" i="4"/>
  <c r="V34" i="4"/>
  <c r="U34" i="4"/>
  <c r="T34" i="4"/>
  <c r="S34" i="4"/>
  <c r="R34" i="4"/>
  <c r="Q34" i="4"/>
  <c r="P34" i="4"/>
  <c r="O34" i="4"/>
  <c r="AC34" i="4"/>
  <c r="AA34" i="4"/>
  <c r="AD34" i="4"/>
  <c r="L34" i="4"/>
  <c r="J34" i="4"/>
  <c r="E34" i="4"/>
  <c r="AB34" i="4"/>
  <c r="M34" i="4"/>
  <c r="K34" i="4"/>
  <c r="I34" i="4"/>
  <c r="D34" i="4"/>
  <c r="G34" i="4"/>
  <c r="N34" i="4"/>
  <c r="H34" i="4"/>
  <c r="F34" i="4"/>
  <c r="AH15" i="4"/>
  <c r="Z15" i="4"/>
  <c r="V15" i="4"/>
  <c r="U15" i="4"/>
  <c r="T15" i="4"/>
  <c r="S15" i="4"/>
  <c r="R15" i="4"/>
  <c r="Q15" i="4"/>
  <c r="P15" i="4"/>
  <c r="O15" i="4"/>
  <c r="AA15" i="4"/>
  <c r="AB15" i="4"/>
  <c r="AC15" i="4"/>
  <c r="AF15" i="4"/>
  <c r="X15" i="4"/>
  <c r="W15" i="4"/>
  <c r="Y15" i="4"/>
  <c r="H15" i="4"/>
  <c r="G15" i="4"/>
  <c r="F15" i="4"/>
  <c r="AG15" i="4"/>
  <c r="N15" i="4"/>
  <c r="M15" i="4"/>
  <c r="L15" i="4"/>
  <c r="K15" i="4"/>
  <c r="J15" i="4"/>
  <c r="I15" i="4"/>
  <c r="D15" i="4"/>
  <c r="E15" i="4"/>
  <c r="AE15" i="4"/>
  <c r="AD15" i="4"/>
  <c r="AD11" i="4"/>
  <c r="AE11" i="4"/>
  <c r="W11" i="4"/>
  <c r="AF11" i="4"/>
  <c r="X11" i="4"/>
  <c r="AG11" i="4"/>
  <c r="Y11" i="4"/>
  <c r="AH11" i="4"/>
  <c r="AB11" i="4"/>
  <c r="AA11" i="4"/>
  <c r="AC11" i="4"/>
  <c r="U11" i="4"/>
  <c r="S11" i="4"/>
  <c r="Q11" i="4"/>
  <c r="O11" i="4"/>
  <c r="Z11" i="4"/>
  <c r="V11" i="4"/>
  <c r="T11" i="4"/>
  <c r="R11" i="4"/>
  <c r="P11" i="4"/>
  <c r="N11" i="4"/>
  <c r="M11" i="4"/>
  <c r="L11" i="4"/>
  <c r="K11" i="4"/>
  <c r="J11" i="4"/>
  <c r="I11" i="4"/>
  <c r="D11" i="4"/>
  <c r="E11" i="4"/>
  <c r="G11" i="4"/>
  <c r="H11" i="4"/>
  <c r="F11" i="4"/>
  <c r="AD19" i="4"/>
  <c r="AE19" i="4"/>
  <c r="W19" i="4"/>
  <c r="AF19" i="4"/>
  <c r="X19" i="4"/>
  <c r="AG19" i="4"/>
  <c r="Y19" i="4"/>
  <c r="AB19" i="4"/>
  <c r="AH19" i="4"/>
  <c r="V19" i="4"/>
  <c r="T19" i="4"/>
  <c r="R19" i="4"/>
  <c r="P19" i="4"/>
  <c r="AC19" i="4"/>
  <c r="AA19" i="4"/>
  <c r="Z19" i="4"/>
  <c r="N19" i="4"/>
  <c r="M19" i="4"/>
  <c r="L19" i="4"/>
  <c r="K19" i="4"/>
  <c r="J19" i="4"/>
  <c r="I19" i="4"/>
  <c r="D19" i="4"/>
  <c r="E19" i="4"/>
  <c r="S19" i="4"/>
  <c r="F19" i="4"/>
  <c r="U19" i="4"/>
  <c r="H19" i="4"/>
  <c r="O19" i="4"/>
  <c r="Q19" i="4"/>
  <c r="G19" i="4"/>
  <c r="AD27" i="4"/>
  <c r="AE27" i="4"/>
  <c r="W27" i="4"/>
  <c r="AF27" i="4"/>
  <c r="X27" i="4"/>
  <c r="AG27" i="4"/>
  <c r="Y27" i="4"/>
  <c r="AB27" i="4"/>
  <c r="U27" i="4"/>
  <c r="S27" i="4"/>
  <c r="Q27" i="4"/>
  <c r="O27" i="4"/>
  <c r="V27" i="4"/>
  <c r="Z27" i="4"/>
  <c r="T27" i="4"/>
  <c r="P27" i="4"/>
  <c r="AH27" i="4"/>
  <c r="R27" i="4"/>
  <c r="AA27" i="4"/>
  <c r="N27" i="4"/>
  <c r="M27" i="4"/>
  <c r="L27" i="4"/>
  <c r="K27" i="4"/>
  <c r="J27" i="4"/>
  <c r="I27" i="4"/>
  <c r="D27" i="4"/>
  <c r="E27" i="4"/>
  <c r="AC27" i="4"/>
  <c r="G27" i="4"/>
  <c r="F27" i="4"/>
  <c r="H27" i="4"/>
  <c r="AD35" i="4"/>
  <c r="AE35" i="4"/>
  <c r="W35" i="4"/>
  <c r="AF35" i="4"/>
  <c r="X35" i="4"/>
  <c r="AG35" i="4"/>
  <c r="Y35" i="4"/>
  <c r="AB35" i="4"/>
  <c r="AA35" i="4"/>
  <c r="Z35" i="4"/>
  <c r="AC35" i="4"/>
  <c r="U35" i="4"/>
  <c r="S35" i="4"/>
  <c r="Q35" i="4"/>
  <c r="O35" i="4"/>
  <c r="N35" i="4"/>
  <c r="M35" i="4"/>
  <c r="L35" i="4"/>
  <c r="K35" i="4"/>
  <c r="J35" i="4"/>
  <c r="I35" i="4"/>
  <c r="D35" i="4"/>
  <c r="E35" i="4"/>
  <c r="AH35" i="4"/>
  <c r="H35" i="4"/>
  <c r="F35" i="4"/>
  <c r="V35" i="4"/>
  <c r="G35" i="4"/>
  <c r="P35" i="4"/>
  <c r="R35" i="4"/>
  <c r="T35" i="4"/>
  <c r="AC12" i="4"/>
  <c r="AD12" i="4"/>
  <c r="AE12" i="4"/>
  <c r="W12" i="4"/>
  <c r="AF12" i="4"/>
  <c r="X12" i="4"/>
  <c r="AH12" i="4"/>
  <c r="AA12" i="4"/>
  <c r="AG12" i="4"/>
  <c r="Z12" i="4"/>
  <c r="U12" i="4"/>
  <c r="S12" i="4"/>
  <c r="Q12" i="4"/>
  <c r="O12" i="4"/>
  <c r="H12" i="4"/>
  <c r="G12" i="4"/>
  <c r="F12" i="4"/>
  <c r="AB12" i="4"/>
  <c r="L12" i="4"/>
  <c r="J12" i="4"/>
  <c r="E12" i="4"/>
  <c r="P12" i="4"/>
  <c r="Y12" i="4"/>
  <c r="I12" i="4"/>
  <c r="D12" i="4"/>
  <c r="T12" i="4"/>
  <c r="R12" i="4"/>
  <c r="K12" i="4"/>
  <c r="V12" i="4"/>
  <c r="N12" i="4"/>
  <c r="M12" i="4"/>
  <c r="AC20" i="4"/>
  <c r="AD20" i="4"/>
  <c r="AE20" i="4"/>
  <c r="W20" i="4"/>
  <c r="AF20" i="4"/>
  <c r="X20" i="4"/>
  <c r="AA20" i="4"/>
  <c r="AB20" i="4"/>
  <c r="AH20" i="4"/>
  <c r="Y20" i="4"/>
  <c r="V20" i="4"/>
  <c r="T20" i="4"/>
  <c r="R20" i="4"/>
  <c r="P20" i="4"/>
  <c r="U20" i="4"/>
  <c r="S20" i="4"/>
  <c r="Q20" i="4"/>
  <c r="O20" i="4"/>
  <c r="H20" i="4"/>
  <c r="G20" i="4"/>
  <c r="F20" i="4"/>
  <c r="Z20" i="4"/>
  <c r="AG20" i="4"/>
  <c r="N20" i="4"/>
  <c r="M20" i="4"/>
  <c r="L20" i="4"/>
  <c r="J20" i="4"/>
  <c r="E20" i="4"/>
  <c r="K20" i="4"/>
  <c r="I20" i="4"/>
  <c r="D20" i="4"/>
  <c r="AC28" i="4"/>
  <c r="AD28" i="4"/>
  <c r="AE28" i="4"/>
  <c r="W28" i="4"/>
  <c r="AF28" i="4"/>
  <c r="X28" i="4"/>
  <c r="AA28" i="4"/>
  <c r="AG28" i="4"/>
  <c r="U28" i="4"/>
  <c r="S28" i="4"/>
  <c r="Q28" i="4"/>
  <c r="O28" i="4"/>
  <c r="Z28" i="4"/>
  <c r="AB28" i="4"/>
  <c r="H28" i="4"/>
  <c r="G28" i="4"/>
  <c r="F28" i="4"/>
  <c r="AH28" i="4"/>
  <c r="V28" i="4"/>
  <c r="P28" i="4"/>
  <c r="K28" i="4"/>
  <c r="I28" i="4"/>
  <c r="D28" i="4"/>
  <c r="N28" i="4"/>
  <c r="M28" i="4"/>
  <c r="R28" i="4"/>
  <c r="Y28" i="4"/>
  <c r="T28" i="4"/>
  <c r="L28" i="4"/>
  <c r="J28" i="4"/>
  <c r="E28" i="4"/>
  <c r="AC36" i="4"/>
  <c r="AD36" i="4"/>
  <c r="AE36" i="4"/>
  <c r="W36" i="4"/>
  <c r="AF36" i="4"/>
  <c r="X36" i="4"/>
  <c r="AA36" i="4"/>
  <c r="AH36" i="4"/>
  <c r="Y36" i="4"/>
  <c r="V36" i="4"/>
  <c r="T36" i="4"/>
  <c r="R36" i="4"/>
  <c r="P36" i="4"/>
  <c r="Q36" i="4"/>
  <c r="O36" i="4"/>
  <c r="S36" i="4"/>
  <c r="AG36" i="4"/>
  <c r="U36" i="4"/>
  <c r="AB36" i="4"/>
  <c r="H36" i="4"/>
  <c r="G36" i="4"/>
  <c r="F36" i="4"/>
  <c r="L36" i="4"/>
  <c r="J36" i="4"/>
  <c r="E36" i="4"/>
  <c r="Z36" i="4"/>
  <c r="D36" i="4"/>
  <c r="N36" i="4"/>
  <c r="I36" i="4"/>
  <c r="M36" i="4"/>
  <c r="K36" i="4"/>
  <c r="D2" i="4"/>
  <c r="AI6" i="4" l="1"/>
  <c r="C8" i="4"/>
  <c r="AI7" i="4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4" i="1"/>
  <c r="C9" i="4" l="1"/>
  <c r="AI8" i="4"/>
  <c r="AK8" i="4" s="1"/>
  <c r="AK6" i="4"/>
  <c r="AJ6" i="4"/>
  <c r="AL6" i="4" s="1"/>
  <c r="AK5" i="4"/>
  <c r="AJ5" i="4"/>
  <c r="AL5" i="4" s="1"/>
  <c r="AK7" i="4"/>
  <c r="AJ7" i="4"/>
  <c r="AL7" i="4" s="1"/>
  <c r="E2" i="1"/>
  <c r="AH10" i="1" l="1"/>
  <c r="AH18" i="1"/>
  <c r="AH26" i="1"/>
  <c r="AH34" i="1"/>
  <c r="AG10" i="1"/>
  <c r="AG18" i="1"/>
  <c r="AG26" i="1"/>
  <c r="AG34" i="1"/>
  <c r="AF10" i="1"/>
  <c r="AF18" i="1"/>
  <c r="AF26" i="1"/>
  <c r="AF34" i="1"/>
  <c r="AE10" i="1"/>
  <c r="AE18" i="1"/>
  <c r="AE26" i="1"/>
  <c r="AE34" i="1"/>
  <c r="AD10" i="1"/>
  <c r="AD18" i="1"/>
  <c r="AD26" i="1"/>
  <c r="AD34" i="1"/>
  <c r="AC10" i="1"/>
  <c r="AC18" i="1"/>
  <c r="AC26" i="1"/>
  <c r="AC34" i="1"/>
  <c r="AB10" i="1"/>
  <c r="AB18" i="1"/>
  <c r="AB26" i="1"/>
  <c r="AB34" i="1"/>
  <c r="AA10" i="1"/>
  <c r="AA18" i="1"/>
  <c r="AA26" i="1"/>
  <c r="AA34" i="1"/>
  <c r="Z10" i="1"/>
  <c r="Z18" i="1"/>
  <c r="Z26" i="1"/>
  <c r="Z34" i="1"/>
  <c r="Y10" i="1"/>
  <c r="Y18" i="1"/>
  <c r="Y26" i="1"/>
  <c r="Y34" i="1"/>
  <c r="X10" i="1"/>
  <c r="X18" i="1"/>
  <c r="X26" i="1"/>
  <c r="X34" i="1"/>
  <c r="W10" i="1"/>
  <c r="W18" i="1"/>
  <c r="W26" i="1"/>
  <c r="W34" i="1"/>
  <c r="V10" i="1"/>
  <c r="V18" i="1"/>
  <c r="V26" i="1"/>
  <c r="V34" i="1"/>
  <c r="U10" i="1"/>
  <c r="U18" i="1"/>
  <c r="U26" i="1"/>
  <c r="U34" i="1"/>
  <c r="T10" i="1"/>
  <c r="T18" i="1"/>
  <c r="T26" i="1"/>
  <c r="T34" i="1"/>
  <c r="S10" i="1"/>
  <c r="S18" i="1"/>
  <c r="S26" i="1"/>
  <c r="S34" i="1"/>
  <c r="R10" i="1"/>
  <c r="R18" i="1"/>
  <c r="R26" i="1"/>
  <c r="R34" i="1"/>
  <c r="Q10" i="1"/>
  <c r="Q18" i="1"/>
  <c r="Q26" i="1"/>
  <c r="Q34" i="1"/>
  <c r="P10" i="1"/>
  <c r="P18" i="1"/>
  <c r="P26" i="1"/>
  <c r="P34" i="1"/>
  <c r="O10" i="1"/>
  <c r="O18" i="1"/>
  <c r="O26" i="1"/>
  <c r="O34" i="1"/>
  <c r="N10" i="1"/>
  <c r="N18" i="1"/>
  <c r="N26" i="1"/>
  <c r="N34" i="1"/>
  <c r="M10" i="1"/>
  <c r="M18" i="1"/>
  <c r="AH11" i="1"/>
  <c r="AH19" i="1"/>
  <c r="AH27" i="1"/>
  <c r="AH35" i="1"/>
  <c r="AG11" i="1"/>
  <c r="AG19" i="1"/>
  <c r="AG27" i="1"/>
  <c r="AG35" i="1"/>
  <c r="AF11" i="1"/>
  <c r="AF19" i="1"/>
  <c r="AF27" i="1"/>
  <c r="AF35" i="1"/>
  <c r="AE11" i="1"/>
  <c r="AE19" i="1"/>
  <c r="AE27" i="1"/>
  <c r="AE35" i="1"/>
  <c r="AD11" i="1"/>
  <c r="AD19" i="1"/>
  <c r="AD27" i="1"/>
  <c r="AD35" i="1"/>
  <c r="AC11" i="1"/>
  <c r="AC19" i="1"/>
  <c r="AC27" i="1"/>
  <c r="AC35" i="1"/>
  <c r="AB11" i="1"/>
  <c r="AB19" i="1"/>
  <c r="AB27" i="1"/>
  <c r="AB35" i="1"/>
  <c r="AA11" i="1"/>
  <c r="AA19" i="1"/>
  <c r="AA27" i="1"/>
  <c r="AA35" i="1"/>
  <c r="Z11" i="1"/>
  <c r="Z19" i="1"/>
  <c r="Z27" i="1"/>
  <c r="Z35" i="1"/>
  <c r="Y11" i="1"/>
  <c r="Y19" i="1"/>
  <c r="Y27" i="1"/>
  <c r="Y35" i="1"/>
  <c r="X11" i="1"/>
  <c r="X19" i="1"/>
  <c r="X27" i="1"/>
  <c r="X35" i="1"/>
  <c r="W11" i="1"/>
  <c r="W19" i="1"/>
  <c r="W27" i="1"/>
  <c r="W35" i="1"/>
  <c r="V11" i="1"/>
  <c r="V19" i="1"/>
  <c r="V27" i="1"/>
  <c r="V35" i="1"/>
  <c r="U11" i="1"/>
  <c r="U19" i="1"/>
  <c r="U27" i="1"/>
  <c r="U35" i="1"/>
  <c r="T11" i="1"/>
  <c r="T19" i="1"/>
  <c r="T27" i="1"/>
  <c r="T35" i="1"/>
  <c r="S11" i="1"/>
  <c r="S19" i="1"/>
  <c r="S27" i="1"/>
  <c r="S35" i="1"/>
  <c r="R11" i="1"/>
  <c r="R19" i="1"/>
  <c r="R27" i="1"/>
  <c r="R35" i="1"/>
  <c r="Q11" i="1"/>
  <c r="Q19" i="1"/>
  <c r="Q27" i="1"/>
  <c r="Q35" i="1"/>
  <c r="P11" i="1"/>
  <c r="P19" i="1"/>
  <c r="P27" i="1"/>
  <c r="P35" i="1"/>
  <c r="O11" i="1"/>
  <c r="O19" i="1"/>
  <c r="O27" i="1"/>
  <c r="O35" i="1"/>
  <c r="N11" i="1"/>
  <c r="N19" i="1"/>
  <c r="N27" i="1"/>
  <c r="N35" i="1"/>
  <c r="M11" i="1"/>
  <c r="M19" i="1"/>
  <c r="AH5" i="1"/>
  <c r="AH13" i="1"/>
  <c r="AH21" i="1"/>
  <c r="AH29" i="1"/>
  <c r="AG5" i="1"/>
  <c r="AG13" i="1"/>
  <c r="AG21" i="1"/>
  <c r="AG29" i="1"/>
  <c r="AF5" i="1"/>
  <c r="AF13" i="1"/>
  <c r="AF21" i="1"/>
  <c r="AF29" i="1"/>
  <c r="AE5" i="1"/>
  <c r="AE13" i="1"/>
  <c r="AE21" i="1"/>
  <c r="AE29" i="1"/>
  <c r="AD5" i="1"/>
  <c r="AD13" i="1"/>
  <c r="AD21" i="1"/>
  <c r="AD29" i="1"/>
  <c r="AC5" i="1"/>
  <c r="AC13" i="1"/>
  <c r="AC21" i="1"/>
  <c r="AC29" i="1"/>
  <c r="AB5" i="1"/>
  <c r="AB13" i="1"/>
  <c r="AB21" i="1"/>
  <c r="AB29" i="1"/>
  <c r="AA5" i="1"/>
  <c r="AA13" i="1"/>
  <c r="AA21" i="1"/>
  <c r="AA29" i="1"/>
  <c r="Z5" i="1"/>
  <c r="Z13" i="1"/>
  <c r="Z21" i="1"/>
  <c r="Z29" i="1"/>
  <c r="Y5" i="1"/>
  <c r="Y13" i="1"/>
  <c r="Y21" i="1"/>
  <c r="Y29" i="1"/>
  <c r="X5" i="1"/>
  <c r="X13" i="1"/>
  <c r="X21" i="1"/>
  <c r="X29" i="1"/>
  <c r="W5" i="1"/>
  <c r="W13" i="1"/>
  <c r="W21" i="1"/>
  <c r="W29" i="1"/>
  <c r="V5" i="1"/>
  <c r="V13" i="1"/>
  <c r="V21" i="1"/>
  <c r="V29" i="1"/>
  <c r="U5" i="1"/>
  <c r="U13" i="1"/>
  <c r="U21" i="1"/>
  <c r="U29" i="1"/>
  <c r="T5" i="1"/>
  <c r="T13" i="1"/>
  <c r="T21" i="1"/>
  <c r="T29" i="1"/>
  <c r="S5" i="1"/>
  <c r="S13" i="1"/>
  <c r="S21" i="1"/>
  <c r="S29" i="1"/>
  <c r="R5" i="1"/>
  <c r="R13" i="1"/>
  <c r="R21" i="1"/>
  <c r="R29" i="1"/>
  <c r="Q5" i="1"/>
  <c r="Q13" i="1"/>
  <c r="Q21" i="1"/>
  <c r="Q29" i="1"/>
  <c r="P5" i="1"/>
  <c r="P13" i="1"/>
  <c r="P21" i="1"/>
  <c r="P29" i="1"/>
  <c r="O5" i="1"/>
  <c r="O13" i="1"/>
  <c r="O21" i="1"/>
  <c r="O29" i="1"/>
  <c r="N5" i="1"/>
  <c r="N13" i="1"/>
  <c r="N21" i="1"/>
  <c r="N29" i="1"/>
  <c r="M5" i="1"/>
  <c r="M13" i="1"/>
  <c r="AH6" i="1"/>
  <c r="AH14" i="1"/>
  <c r="AH22" i="1"/>
  <c r="AH30" i="1"/>
  <c r="AG6" i="1"/>
  <c r="AG14" i="1"/>
  <c r="AG22" i="1"/>
  <c r="AG30" i="1"/>
  <c r="AF6" i="1"/>
  <c r="AF14" i="1"/>
  <c r="AF22" i="1"/>
  <c r="AF30" i="1"/>
  <c r="AE6" i="1"/>
  <c r="AE14" i="1"/>
  <c r="AE22" i="1"/>
  <c r="AE30" i="1"/>
  <c r="AD6" i="1"/>
  <c r="AD14" i="1"/>
  <c r="AD22" i="1"/>
  <c r="AD30" i="1"/>
  <c r="AC6" i="1"/>
  <c r="AC14" i="1"/>
  <c r="AC22" i="1"/>
  <c r="AC30" i="1"/>
  <c r="AB6" i="1"/>
  <c r="AB14" i="1"/>
  <c r="AB22" i="1"/>
  <c r="AB30" i="1"/>
  <c r="AA6" i="1"/>
  <c r="AA14" i="1"/>
  <c r="AA22" i="1"/>
  <c r="AA30" i="1"/>
  <c r="Z6" i="1"/>
  <c r="Z14" i="1"/>
  <c r="Z22" i="1"/>
  <c r="Z30" i="1"/>
  <c r="Y6" i="1"/>
  <c r="Y14" i="1"/>
  <c r="Y22" i="1"/>
  <c r="Y30" i="1"/>
  <c r="X6" i="1"/>
  <c r="X14" i="1"/>
  <c r="X22" i="1"/>
  <c r="X30" i="1"/>
  <c r="W6" i="1"/>
  <c r="W14" i="1"/>
  <c r="W22" i="1"/>
  <c r="W30" i="1"/>
  <c r="V6" i="1"/>
  <c r="V14" i="1"/>
  <c r="V22" i="1"/>
  <c r="V30" i="1"/>
  <c r="U6" i="1"/>
  <c r="U14" i="1"/>
  <c r="U22" i="1"/>
  <c r="U30" i="1"/>
  <c r="T6" i="1"/>
  <c r="T14" i="1"/>
  <c r="T22" i="1"/>
  <c r="T30" i="1"/>
  <c r="S6" i="1"/>
  <c r="S14" i="1"/>
  <c r="S22" i="1"/>
  <c r="S30" i="1"/>
  <c r="R6" i="1"/>
  <c r="R14" i="1"/>
  <c r="R22" i="1"/>
  <c r="R30" i="1"/>
  <c r="Q6" i="1"/>
  <c r="Q14" i="1"/>
  <c r="Q22" i="1"/>
  <c r="Q30" i="1"/>
  <c r="P6" i="1"/>
  <c r="P14" i="1"/>
  <c r="P22" i="1"/>
  <c r="P30" i="1"/>
  <c r="O6" i="1"/>
  <c r="O14" i="1"/>
  <c r="O22" i="1"/>
  <c r="O30" i="1"/>
  <c r="N6" i="1"/>
  <c r="N14" i="1"/>
  <c r="N22" i="1"/>
  <c r="N30" i="1"/>
  <c r="AH7" i="1"/>
  <c r="AH15" i="1"/>
  <c r="AH23" i="1"/>
  <c r="AH31" i="1"/>
  <c r="AG7" i="1"/>
  <c r="AG15" i="1"/>
  <c r="AG23" i="1"/>
  <c r="AG31" i="1"/>
  <c r="AF7" i="1"/>
  <c r="AF15" i="1"/>
  <c r="AF23" i="1"/>
  <c r="AF31" i="1"/>
  <c r="AE7" i="1"/>
  <c r="AE15" i="1"/>
  <c r="AE23" i="1"/>
  <c r="AE31" i="1"/>
  <c r="AD7" i="1"/>
  <c r="AD15" i="1"/>
  <c r="AD23" i="1"/>
  <c r="AD31" i="1"/>
  <c r="AC7" i="1"/>
  <c r="AC15" i="1"/>
  <c r="AC23" i="1"/>
  <c r="AC31" i="1"/>
  <c r="AB7" i="1"/>
  <c r="AB15" i="1"/>
  <c r="AB23" i="1"/>
  <c r="AB31" i="1"/>
  <c r="AA7" i="1"/>
  <c r="AA15" i="1"/>
  <c r="AA23" i="1"/>
  <c r="AA31" i="1"/>
  <c r="Z7" i="1"/>
  <c r="Z15" i="1"/>
  <c r="Z23" i="1"/>
  <c r="Z31" i="1"/>
  <c r="Y7" i="1"/>
  <c r="Y15" i="1"/>
  <c r="Y23" i="1"/>
  <c r="Y31" i="1"/>
  <c r="X7" i="1"/>
  <c r="X15" i="1"/>
  <c r="X23" i="1"/>
  <c r="X31" i="1"/>
  <c r="W7" i="1"/>
  <c r="W15" i="1"/>
  <c r="W23" i="1"/>
  <c r="W31" i="1"/>
  <c r="V7" i="1"/>
  <c r="V15" i="1"/>
  <c r="V23" i="1"/>
  <c r="V31" i="1"/>
  <c r="U7" i="1"/>
  <c r="U15" i="1"/>
  <c r="U23" i="1"/>
  <c r="U31" i="1"/>
  <c r="T7" i="1"/>
  <c r="T15" i="1"/>
  <c r="T23" i="1"/>
  <c r="T31" i="1"/>
  <c r="S7" i="1"/>
  <c r="S15" i="1"/>
  <c r="S23" i="1"/>
  <c r="S31" i="1"/>
  <c r="R7" i="1"/>
  <c r="R15" i="1"/>
  <c r="R23" i="1"/>
  <c r="R31" i="1"/>
  <c r="Q7" i="1"/>
  <c r="Q15" i="1"/>
  <c r="Q23" i="1"/>
  <c r="Q31" i="1"/>
  <c r="P7" i="1"/>
  <c r="P15" i="1"/>
  <c r="P23" i="1"/>
  <c r="P31" i="1"/>
  <c r="O7" i="1"/>
  <c r="O15" i="1"/>
  <c r="O23" i="1"/>
  <c r="O31" i="1"/>
  <c r="N7" i="1"/>
  <c r="N15" i="1"/>
  <c r="N23" i="1"/>
  <c r="N31" i="1"/>
  <c r="M7" i="1"/>
  <c r="M15" i="1"/>
  <c r="AH8" i="1"/>
  <c r="AH16" i="1"/>
  <c r="AH24" i="1"/>
  <c r="AH32" i="1"/>
  <c r="AG8" i="1"/>
  <c r="AG16" i="1"/>
  <c r="AG24" i="1"/>
  <c r="AG32" i="1"/>
  <c r="AF8" i="1"/>
  <c r="AF16" i="1"/>
  <c r="AF24" i="1"/>
  <c r="AF32" i="1"/>
  <c r="AE8" i="1"/>
  <c r="AE16" i="1"/>
  <c r="AE24" i="1"/>
  <c r="AE32" i="1"/>
  <c r="AD8" i="1"/>
  <c r="AD16" i="1"/>
  <c r="AD24" i="1"/>
  <c r="AD32" i="1"/>
  <c r="AC8" i="1"/>
  <c r="AC16" i="1"/>
  <c r="AC24" i="1"/>
  <c r="AC32" i="1"/>
  <c r="AB8" i="1"/>
  <c r="AB16" i="1"/>
  <c r="AB24" i="1"/>
  <c r="AB32" i="1"/>
  <c r="AA8" i="1"/>
  <c r="AA16" i="1"/>
  <c r="AA24" i="1"/>
  <c r="AA32" i="1"/>
  <c r="Z8" i="1"/>
  <c r="Z16" i="1"/>
  <c r="Z24" i="1"/>
  <c r="Z32" i="1"/>
  <c r="Y8" i="1"/>
  <c r="Y16" i="1"/>
  <c r="Y24" i="1"/>
  <c r="Y32" i="1"/>
  <c r="X8" i="1"/>
  <c r="X16" i="1"/>
  <c r="X24" i="1"/>
  <c r="X32" i="1"/>
  <c r="W8" i="1"/>
  <c r="W16" i="1"/>
  <c r="W24" i="1"/>
  <c r="W32" i="1"/>
  <c r="V8" i="1"/>
  <c r="V16" i="1"/>
  <c r="V24" i="1"/>
  <c r="V32" i="1"/>
  <c r="U8" i="1"/>
  <c r="U16" i="1"/>
  <c r="U24" i="1"/>
  <c r="U32" i="1"/>
  <c r="T8" i="1"/>
  <c r="T16" i="1"/>
  <c r="T24" i="1"/>
  <c r="T32" i="1"/>
  <c r="S8" i="1"/>
  <c r="S16" i="1"/>
  <c r="S24" i="1"/>
  <c r="S32" i="1"/>
  <c r="R8" i="1"/>
  <c r="R16" i="1"/>
  <c r="R24" i="1"/>
  <c r="R32" i="1"/>
  <c r="Q8" i="1"/>
  <c r="Q16" i="1"/>
  <c r="Q24" i="1"/>
  <c r="Q32" i="1"/>
  <c r="P8" i="1"/>
  <c r="P16" i="1"/>
  <c r="P24" i="1"/>
  <c r="P32" i="1"/>
  <c r="O8" i="1"/>
  <c r="O16" i="1"/>
  <c r="O24" i="1"/>
  <c r="O32" i="1"/>
  <c r="N8" i="1"/>
  <c r="N16" i="1"/>
  <c r="N24" i="1"/>
  <c r="N32" i="1"/>
  <c r="M8" i="1"/>
  <c r="M16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17" i="1"/>
  <c r="M27" i="1"/>
  <c r="M35" i="1"/>
  <c r="L11" i="1"/>
  <c r="L19" i="1"/>
  <c r="L27" i="1"/>
  <c r="L35" i="1"/>
  <c r="K11" i="1"/>
  <c r="K19" i="1"/>
  <c r="K27" i="1"/>
  <c r="K35" i="1"/>
  <c r="J11" i="1"/>
  <c r="J19" i="1"/>
  <c r="J27" i="1"/>
  <c r="J35" i="1"/>
  <c r="I11" i="1"/>
  <c r="I19" i="1"/>
  <c r="I27" i="1"/>
  <c r="I35" i="1"/>
  <c r="H11" i="1"/>
  <c r="H19" i="1"/>
  <c r="H27" i="1"/>
  <c r="H35" i="1"/>
  <c r="G11" i="1"/>
  <c r="G19" i="1"/>
  <c r="G27" i="1"/>
  <c r="G35" i="1"/>
  <c r="F11" i="1"/>
  <c r="F19" i="1"/>
  <c r="F27" i="1"/>
  <c r="F35" i="1"/>
  <c r="E11" i="1"/>
  <c r="E19" i="1"/>
  <c r="E27" i="1"/>
  <c r="E35" i="1"/>
  <c r="D11" i="1"/>
  <c r="D19" i="1"/>
  <c r="D27" i="1"/>
  <c r="D35" i="1"/>
  <c r="C11" i="1"/>
  <c r="C19" i="1"/>
  <c r="C27" i="1"/>
  <c r="AI27" i="1" s="1"/>
  <c r="AK27" i="1" s="1"/>
  <c r="C35" i="1"/>
  <c r="AD4" i="1"/>
  <c r="W4" i="1"/>
  <c r="T4" i="1"/>
  <c r="R4" i="1"/>
  <c r="M29" i="1"/>
  <c r="L29" i="1"/>
  <c r="K21" i="1"/>
  <c r="J13" i="1"/>
  <c r="I5" i="1"/>
  <c r="I29" i="1"/>
  <c r="H13" i="1"/>
  <c r="G5" i="1"/>
  <c r="G21" i="1"/>
  <c r="F13" i="1"/>
  <c r="E5" i="1"/>
  <c r="E21" i="1"/>
  <c r="D5" i="1"/>
  <c r="D21" i="1"/>
  <c r="C5" i="1"/>
  <c r="C29" i="1"/>
  <c r="AF25" i="1"/>
  <c r="AC25" i="1"/>
  <c r="AB25" i="1"/>
  <c r="Z25" i="1"/>
  <c r="X25" i="1"/>
  <c r="V25" i="1"/>
  <c r="S25" i="1"/>
  <c r="Q25" i="1"/>
  <c r="P25" i="1"/>
  <c r="M26" i="1"/>
  <c r="L18" i="1"/>
  <c r="K10" i="1"/>
  <c r="K34" i="1"/>
  <c r="I10" i="1"/>
  <c r="I34" i="1"/>
  <c r="H26" i="1"/>
  <c r="G18" i="1"/>
  <c r="F26" i="1"/>
  <c r="E34" i="1"/>
  <c r="D26" i="1"/>
  <c r="C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20" i="1"/>
  <c r="M28" i="1"/>
  <c r="M4" i="1"/>
  <c r="L12" i="1"/>
  <c r="L20" i="1"/>
  <c r="L28" i="1"/>
  <c r="L4" i="1"/>
  <c r="K12" i="1"/>
  <c r="K20" i="1"/>
  <c r="K28" i="1"/>
  <c r="K4" i="1"/>
  <c r="J12" i="1"/>
  <c r="J20" i="1"/>
  <c r="J28" i="1"/>
  <c r="J4" i="1"/>
  <c r="I12" i="1"/>
  <c r="I20" i="1"/>
  <c r="I28" i="1"/>
  <c r="I4" i="1"/>
  <c r="H12" i="1"/>
  <c r="H20" i="1"/>
  <c r="H28" i="1"/>
  <c r="H4" i="1"/>
  <c r="G12" i="1"/>
  <c r="G20" i="1"/>
  <c r="G28" i="1"/>
  <c r="G4" i="1"/>
  <c r="F12" i="1"/>
  <c r="F20" i="1"/>
  <c r="F28" i="1"/>
  <c r="F4" i="1"/>
  <c r="E12" i="1"/>
  <c r="E20" i="1"/>
  <c r="E28" i="1"/>
  <c r="E4" i="1"/>
  <c r="D12" i="1"/>
  <c r="D20" i="1"/>
  <c r="D28" i="1"/>
  <c r="D4" i="1"/>
  <c r="C12" i="1"/>
  <c r="C20" i="1"/>
  <c r="C28" i="1"/>
  <c r="C4" i="1"/>
  <c r="AH4" i="1"/>
  <c r="AF4" i="1"/>
  <c r="AE4" i="1"/>
  <c r="AC4" i="1"/>
  <c r="AB4" i="1"/>
  <c r="AA4" i="1"/>
  <c r="Z4" i="1"/>
  <c r="Y4" i="1"/>
  <c r="X4" i="1"/>
  <c r="U4" i="1"/>
  <c r="S4" i="1"/>
  <c r="P4" i="1"/>
  <c r="N4" i="1"/>
  <c r="L5" i="1"/>
  <c r="L21" i="1"/>
  <c r="K13" i="1"/>
  <c r="J5" i="1"/>
  <c r="J29" i="1"/>
  <c r="I21" i="1"/>
  <c r="H21" i="1"/>
  <c r="G13" i="1"/>
  <c r="F5" i="1"/>
  <c r="F29" i="1"/>
  <c r="E29" i="1"/>
  <c r="D29" i="1"/>
  <c r="C13" i="1"/>
  <c r="AH25" i="1"/>
  <c r="AE25" i="1"/>
  <c r="U25" i="1"/>
  <c r="O25" i="1"/>
  <c r="L10" i="1"/>
  <c r="K18" i="1"/>
  <c r="J10" i="1"/>
  <c r="J34" i="1"/>
  <c r="I26" i="1"/>
  <c r="H18" i="1"/>
  <c r="H34" i="1"/>
  <c r="G26" i="1"/>
  <c r="F18" i="1"/>
  <c r="E10" i="1"/>
  <c r="E26" i="1"/>
  <c r="D18" i="1"/>
  <c r="D34" i="1"/>
  <c r="C26" i="1"/>
  <c r="AG4" i="1"/>
  <c r="V4" i="1"/>
  <c r="Q4" i="1"/>
  <c r="O4" i="1"/>
  <c r="M21" i="1"/>
  <c r="L13" i="1"/>
  <c r="K5" i="1"/>
  <c r="K29" i="1"/>
  <c r="J21" i="1"/>
  <c r="I13" i="1"/>
  <c r="H5" i="1"/>
  <c r="H29" i="1"/>
  <c r="G29" i="1"/>
  <c r="F21" i="1"/>
  <c r="E13" i="1"/>
  <c r="D13" i="1"/>
  <c r="C21" i="1"/>
  <c r="AG25" i="1"/>
  <c r="AD25" i="1"/>
  <c r="AA25" i="1"/>
  <c r="Y25" i="1"/>
  <c r="W25" i="1"/>
  <c r="T25" i="1"/>
  <c r="R25" i="1"/>
  <c r="N25" i="1"/>
  <c r="M34" i="1"/>
  <c r="L34" i="1"/>
  <c r="K26" i="1"/>
  <c r="J26" i="1"/>
  <c r="I18" i="1"/>
  <c r="H10" i="1"/>
  <c r="G10" i="1"/>
  <c r="G34" i="1"/>
  <c r="F34" i="1"/>
  <c r="E18" i="1"/>
  <c r="D10" i="1"/>
  <c r="C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6" i="1"/>
  <c r="M22" i="1"/>
  <c r="M30" i="1"/>
  <c r="L6" i="1"/>
  <c r="L14" i="1"/>
  <c r="L22" i="1"/>
  <c r="L30" i="1"/>
  <c r="K6" i="1"/>
  <c r="K14" i="1"/>
  <c r="K22" i="1"/>
  <c r="K30" i="1"/>
  <c r="J6" i="1"/>
  <c r="J14" i="1"/>
  <c r="J22" i="1"/>
  <c r="J30" i="1"/>
  <c r="I6" i="1"/>
  <c r="I14" i="1"/>
  <c r="I22" i="1"/>
  <c r="I30" i="1"/>
  <c r="H6" i="1"/>
  <c r="H14" i="1"/>
  <c r="H22" i="1"/>
  <c r="H30" i="1"/>
  <c r="G6" i="1"/>
  <c r="G14" i="1"/>
  <c r="G22" i="1"/>
  <c r="G30" i="1"/>
  <c r="F6" i="1"/>
  <c r="F14" i="1"/>
  <c r="F22" i="1"/>
  <c r="F30" i="1"/>
  <c r="E6" i="1"/>
  <c r="E14" i="1"/>
  <c r="E22" i="1"/>
  <c r="E30" i="1"/>
  <c r="D6" i="1"/>
  <c r="D14" i="1"/>
  <c r="D22" i="1"/>
  <c r="D30" i="1"/>
  <c r="C6" i="1"/>
  <c r="C14" i="1"/>
  <c r="C22" i="1"/>
  <c r="AI22" i="1" s="1"/>
  <c r="AJ22" i="1" s="1"/>
  <c r="AL22" i="1" s="1"/>
  <c r="C30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9" i="1"/>
  <c r="M23" i="1"/>
  <c r="M31" i="1"/>
  <c r="L7" i="1"/>
  <c r="L15" i="1"/>
  <c r="L23" i="1"/>
  <c r="L31" i="1"/>
  <c r="K7" i="1"/>
  <c r="K15" i="1"/>
  <c r="K23" i="1"/>
  <c r="K31" i="1"/>
  <c r="J7" i="1"/>
  <c r="J15" i="1"/>
  <c r="J23" i="1"/>
  <c r="J31" i="1"/>
  <c r="I7" i="1"/>
  <c r="I15" i="1"/>
  <c r="I23" i="1"/>
  <c r="I31" i="1"/>
  <c r="H7" i="1"/>
  <c r="H15" i="1"/>
  <c r="H23" i="1"/>
  <c r="H31" i="1"/>
  <c r="G7" i="1"/>
  <c r="G15" i="1"/>
  <c r="G23" i="1"/>
  <c r="G31" i="1"/>
  <c r="F7" i="1"/>
  <c r="F15" i="1"/>
  <c r="F23" i="1"/>
  <c r="F31" i="1"/>
  <c r="E7" i="1"/>
  <c r="E15" i="1"/>
  <c r="E23" i="1"/>
  <c r="E31" i="1"/>
  <c r="D7" i="1"/>
  <c r="D15" i="1"/>
  <c r="D23" i="1"/>
  <c r="D31" i="1"/>
  <c r="C7" i="1"/>
  <c r="C15" i="1"/>
  <c r="C23" i="1"/>
  <c r="AI23" i="1" s="1"/>
  <c r="AJ23" i="1" s="1"/>
  <c r="C31" i="1"/>
  <c r="L26" i="1"/>
  <c r="F10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2" i="1"/>
  <c r="M24" i="1"/>
  <c r="M32" i="1"/>
  <c r="L8" i="1"/>
  <c r="L16" i="1"/>
  <c r="L24" i="1"/>
  <c r="L32" i="1"/>
  <c r="K8" i="1"/>
  <c r="K16" i="1"/>
  <c r="K24" i="1"/>
  <c r="K32" i="1"/>
  <c r="J8" i="1"/>
  <c r="J16" i="1"/>
  <c r="J24" i="1"/>
  <c r="J32" i="1"/>
  <c r="I8" i="1"/>
  <c r="I16" i="1"/>
  <c r="I24" i="1"/>
  <c r="I32" i="1"/>
  <c r="H8" i="1"/>
  <c r="H16" i="1"/>
  <c r="H24" i="1"/>
  <c r="H32" i="1"/>
  <c r="G8" i="1"/>
  <c r="G16" i="1"/>
  <c r="G24" i="1"/>
  <c r="G32" i="1"/>
  <c r="F8" i="1"/>
  <c r="F16" i="1"/>
  <c r="F24" i="1"/>
  <c r="F32" i="1"/>
  <c r="E8" i="1"/>
  <c r="E16" i="1"/>
  <c r="E24" i="1"/>
  <c r="E32" i="1"/>
  <c r="D8" i="1"/>
  <c r="D16" i="1"/>
  <c r="D24" i="1"/>
  <c r="D32" i="1"/>
  <c r="C8" i="1"/>
  <c r="AI8" i="1" s="1"/>
  <c r="C16" i="1"/>
  <c r="C24" i="1"/>
  <c r="C32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14" i="1"/>
  <c r="M25" i="1"/>
  <c r="M33" i="1"/>
  <c r="L9" i="1"/>
  <c r="L17" i="1"/>
  <c r="L25" i="1"/>
  <c r="L33" i="1"/>
  <c r="K9" i="1"/>
  <c r="K17" i="1"/>
  <c r="K25" i="1"/>
  <c r="K33" i="1"/>
  <c r="J9" i="1"/>
  <c r="J17" i="1"/>
  <c r="J25" i="1"/>
  <c r="J33" i="1"/>
  <c r="I9" i="1"/>
  <c r="I17" i="1"/>
  <c r="I25" i="1"/>
  <c r="I33" i="1"/>
  <c r="H9" i="1"/>
  <c r="H17" i="1"/>
  <c r="H25" i="1"/>
  <c r="H33" i="1"/>
  <c r="G9" i="1"/>
  <c r="G17" i="1"/>
  <c r="G25" i="1"/>
  <c r="G33" i="1"/>
  <c r="F9" i="1"/>
  <c r="F17" i="1"/>
  <c r="F25" i="1"/>
  <c r="F33" i="1"/>
  <c r="E9" i="1"/>
  <c r="E17" i="1"/>
  <c r="E25" i="1"/>
  <c r="E33" i="1"/>
  <c r="D9" i="1"/>
  <c r="D17" i="1"/>
  <c r="D25" i="1"/>
  <c r="D33" i="1"/>
  <c r="C9" i="1"/>
  <c r="C17" i="1"/>
  <c r="C25" i="1"/>
  <c r="C33" i="1"/>
  <c r="J18" i="1"/>
  <c r="C18" i="1"/>
  <c r="AJ8" i="4"/>
  <c r="AL8" i="4" s="1"/>
  <c r="C10" i="4"/>
  <c r="AI9" i="4"/>
  <c r="AK22" i="1"/>
  <c r="AJ27" i="1"/>
  <c r="D2" i="1"/>
  <c r="AI9" i="1" l="1"/>
  <c r="AI14" i="1"/>
  <c r="AI20" i="1"/>
  <c r="AI12" i="1"/>
  <c r="AI19" i="1"/>
  <c r="AI18" i="1"/>
  <c r="AI26" i="1"/>
  <c r="AI11" i="1"/>
  <c r="AK9" i="4"/>
  <c r="AJ9" i="4"/>
  <c r="AI15" i="1"/>
  <c r="AI35" i="1"/>
  <c r="AL27" i="1"/>
  <c r="AI7" i="1"/>
  <c r="AK23" i="1"/>
  <c r="AL23" i="1" s="1"/>
  <c r="AI21" i="1"/>
  <c r="AI33" i="1"/>
  <c r="AI32" i="1"/>
  <c r="AI29" i="1"/>
  <c r="C11" i="4"/>
  <c r="AI10" i="4"/>
  <c r="AI28" i="1"/>
  <c r="AI25" i="1"/>
  <c r="AI24" i="1"/>
  <c r="AI13" i="1"/>
  <c r="AI5" i="1"/>
  <c r="AI17" i="1"/>
  <c r="AI16" i="1"/>
  <c r="AI31" i="1"/>
  <c r="AI30" i="1"/>
  <c r="AI10" i="1"/>
  <c r="AJ8" i="1"/>
  <c r="AK8" i="1"/>
  <c r="AI4" i="1"/>
  <c r="AI34" i="1"/>
  <c r="AI6" i="1"/>
  <c r="AJ25" i="1" l="1"/>
  <c r="AK25" i="1"/>
  <c r="AK30" i="1"/>
  <c r="AJ30" i="1"/>
  <c r="AL30" i="1" s="1"/>
  <c r="AK28" i="1"/>
  <c r="AJ28" i="1"/>
  <c r="AL28" i="1" s="1"/>
  <c r="AK7" i="1"/>
  <c r="AJ7" i="1"/>
  <c r="AL7" i="1" s="1"/>
  <c r="AK18" i="1"/>
  <c r="AJ18" i="1"/>
  <c r="AL18" i="1" s="1"/>
  <c r="AK10" i="4"/>
  <c r="AJ10" i="4"/>
  <c r="AL10" i="4" s="1"/>
  <c r="AJ12" i="1"/>
  <c r="AK12" i="1"/>
  <c r="AJ29" i="1"/>
  <c r="AK29" i="1"/>
  <c r="AK15" i="1"/>
  <c r="AJ15" i="1"/>
  <c r="AL15" i="1" s="1"/>
  <c r="AJ20" i="1"/>
  <c r="AK20" i="1"/>
  <c r="AJ31" i="1"/>
  <c r="AK31" i="1"/>
  <c r="AK16" i="1"/>
  <c r="AJ16" i="1"/>
  <c r="AL16" i="1" s="1"/>
  <c r="AK34" i="1"/>
  <c r="AJ34" i="1"/>
  <c r="AL34" i="1" s="1"/>
  <c r="AK5" i="1"/>
  <c r="AJ5" i="1"/>
  <c r="AL5" i="1" s="1"/>
  <c r="AK32" i="1"/>
  <c r="AJ32" i="1"/>
  <c r="AL32" i="1" s="1"/>
  <c r="AL9" i="4"/>
  <c r="AJ14" i="1"/>
  <c r="AL14" i="1" s="1"/>
  <c r="AK14" i="1"/>
  <c r="AK19" i="1"/>
  <c r="AJ19" i="1"/>
  <c r="AK35" i="1"/>
  <c r="AJ35" i="1"/>
  <c r="AL35" i="1" s="1"/>
  <c r="AK4" i="1"/>
  <c r="AJ4" i="1"/>
  <c r="AJ13" i="1"/>
  <c r="AL13" i="1" s="1"/>
  <c r="AK13" i="1"/>
  <c r="AK33" i="1"/>
  <c r="AJ33" i="1"/>
  <c r="AK9" i="1"/>
  <c r="AJ9" i="1"/>
  <c r="AL9" i="1" s="1"/>
  <c r="AJ10" i="1"/>
  <c r="AL10" i="1" s="1"/>
  <c r="AK10" i="1"/>
  <c r="AK26" i="1"/>
  <c r="AJ26" i="1"/>
  <c r="AJ6" i="1"/>
  <c r="AL6" i="1" s="1"/>
  <c r="AK6" i="1"/>
  <c r="C12" i="4"/>
  <c r="AI11" i="4"/>
  <c r="AK17" i="1"/>
  <c r="AJ17" i="1"/>
  <c r="AL8" i="1"/>
  <c r="AJ24" i="1"/>
  <c r="AK24" i="1"/>
  <c r="AK21" i="1"/>
  <c r="AJ21" i="1"/>
  <c r="AL21" i="1" s="1"/>
  <c r="AK11" i="1"/>
  <c r="AJ11" i="1"/>
  <c r="AL11" i="1" s="1"/>
  <c r="AL17" i="1" l="1"/>
  <c r="AL4" i="1"/>
  <c r="AL29" i="1"/>
  <c r="C13" i="4"/>
  <c r="AI12" i="4"/>
  <c r="AK11" i="4"/>
  <c r="AJ11" i="4"/>
  <c r="AL31" i="1"/>
  <c r="AL12" i="1"/>
  <c r="AL33" i="1"/>
  <c r="AL19" i="1"/>
  <c r="AL20" i="1"/>
  <c r="AL24" i="1"/>
  <c r="AL26" i="1"/>
  <c r="AL25" i="1"/>
  <c r="AL11" i="4" l="1"/>
  <c r="C14" i="4"/>
  <c r="AI13" i="4"/>
  <c r="AK12" i="4"/>
  <c r="AJ12" i="4"/>
  <c r="AL12" i="4" s="1"/>
  <c r="AK13" i="4" l="1"/>
  <c r="AJ13" i="4"/>
  <c r="AL13" i="4" s="1"/>
  <c r="C15" i="4"/>
  <c r="AI14" i="4"/>
  <c r="C16" i="4" l="1"/>
  <c r="AI15" i="4"/>
  <c r="AK14" i="4"/>
  <c r="AJ14" i="4"/>
  <c r="AL14" i="4" s="1"/>
  <c r="AK15" i="4" l="1"/>
  <c r="AJ15" i="4"/>
  <c r="AL15" i="4" s="1"/>
  <c r="C17" i="4"/>
  <c r="AI16" i="4"/>
  <c r="AK16" i="4" l="1"/>
  <c r="AJ16" i="4"/>
  <c r="AL16" i="4" s="1"/>
  <c r="C18" i="4"/>
  <c r="AI17" i="4"/>
  <c r="AK17" i="4" l="1"/>
  <c r="AJ17" i="4"/>
  <c r="AL17" i="4" s="1"/>
  <c r="C19" i="4"/>
  <c r="AI18" i="4"/>
  <c r="AK18" i="4" l="1"/>
  <c r="AJ18" i="4"/>
  <c r="AL18" i="4" s="1"/>
  <c r="C20" i="4"/>
  <c r="AI19" i="4"/>
  <c r="AK19" i="4" l="1"/>
  <c r="AJ19" i="4"/>
  <c r="AL19" i="4" s="1"/>
  <c r="C21" i="4"/>
  <c r="AI20" i="4"/>
  <c r="AK20" i="4" l="1"/>
  <c r="AJ20" i="4"/>
  <c r="AL20" i="4" s="1"/>
  <c r="C22" i="4"/>
  <c r="AI21" i="4"/>
  <c r="AK21" i="4" l="1"/>
  <c r="AJ21" i="4"/>
  <c r="AL21" i="4" s="1"/>
  <c r="C23" i="4"/>
  <c r="AI22" i="4"/>
  <c r="AK22" i="4" l="1"/>
  <c r="AJ22" i="4"/>
  <c r="AL22" i="4" s="1"/>
  <c r="C24" i="4"/>
  <c r="AI23" i="4"/>
  <c r="AK23" i="4" l="1"/>
  <c r="AJ23" i="4"/>
  <c r="AL23" i="4" s="1"/>
  <c r="C25" i="4"/>
  <c r="AI24" i="4"/>
  <c r="C26" i="4" l="1"/>
  <c r="AI25" i="4"/>
  <c r="AK24" i="4"/>
  <c r="AJ24" i="4"/>
  <c r="AL24" i="4" s="1"/>
  <c r="AK25" i="4" l="1"/>
  <c r="AJ25" i="4"/>
  <c r="AL25" i="4" s="1"/>
  <c r="C27" i="4"/>
  <c r="AI26" i="4"/>
  <c r="AJ26" i="4" l="1"/>
  <c r="AL26" i="4" s="1"/>
  <c r="AK26" i="4"/>
  <c r="C28" i="4"/>
  <c r="AI27" i="4"/>
  <c r="C29" i="4" l="1"/>
  <c r="AI28" i="4"/>
  <c r="AJ27" i="4"/>
  <c r="AK27" i="4"/>
  <c r="AL27" i="4" l="1"/>
  <c r="AK28" i="4"/>
  <c r="AJ28" i="4"/>
  <c r="AL28" i="4" s="1"/>
  <c r="C30" i="4"/>
  <c r="AI29" i="4"/>
  <c r="AJ29" i="4" l="1"/>
  <c r="AK29" i="4"/>
  <c r="C31" i="4"/>
  <c r="AI30" i="4"/>
  <c r="C32" i="4" l="1"/>
  <c r="AI31" i="4"/>
  <c r="AJ30" i="4"/>
  <c r="AK30" i="4"/>
  <c r="AL29" i="4"/>
  <c r="AL30" i="4" l="1"/>
  <c r="AK31" i="4"/>
  <c r="AJ31" i="4"/>
  <c r="AL31" i="4" s="1"/>
  <c r="C33" i="4"/>
  <c r="AI32" i="4"/>
  <c r="C34" i="4" l="1"/>
  <c r="AI33" i="4"/>
  <c r="AK32" i="4"/>
  <c r="AJ32" i="4"/>
  <c r="AL32" i="4" s="1"/>
  <c r="AK33" i="4" l="1"/>
  <c r="AJ33" i="4"/>
  <c r="AL33" i="4" s="1"/>
  <c r="C35" i="4"/>
  <c r="AI34" i="4"/>
  <c r="AK34" i="4" l="1"/>
  <c r="AJ34" i="4"/>
  <c r="AL34" i="4" s="1"/>
  <c r="C36" i="4"/>
  <c r="AI36" i="4" s="1"/>
  <c r="AI35" i="4"/>
  <c r="AK35" i="4" l="1"/>
  <c r="AJ35" i="4"/>
  <c r="AL35" i="4" s="1"/>
  <c r="AK36" i="4"/>
  <c r="AJ36" i="4"/>
  <c r="AL36" i="4" s="1"/>
</calcChain>
</file>

<file path=xl/sharedStrings.xml><?xml version="1.0" encoding="utf-8"?>
<sst xmlns="http://schemas.openxmlformats.org/spreadsheetml/2006/main" count="20" uniqueCount="11">
  <si>
    <t>f(t) = Cos(2PI62.5t)</t>
  </si>
  <si>
    <t>2000 m/s</t>
  </si>
  <si>
    <t>0.016 s</t>
  </si>
  <si>
    <t>x[n]</t>
  </si>
  <si>
    <t>k\n</t>
  </si>
  <si>
    <t>e^2PIK/N</t>
  </si>
  <si>
    <t>F()</t>
  </si>
  <si>
    <t>REAL</t>
  </si>
  <si>
    <t>IMAGINARIO</t>
  </si>
  <si>
    <t>k\xn</t>
  </si>
  <si>
    <t>MAGNITUD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</si>
</sst>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Hoja2!$AJ$5:$AJ$36</c:f>
              <c:numCache>
                <c:formatCode>0</c:formatCode>
                <c:ptCount val="32"/>
                <c:pt idx="0">
                  <c:v>-1.3461454173579999E-15</c:v>
                </c:pt>
                <c:pt idx="1">
                  <c:v>9.6381236325271402E-15</c:v>
                </c:pt>
                <c:pt idx="2">
                  <c:v>-7.5009443101237107E-15</c:v>
                </c:pt>
                <c:pt idx="3">
                  <c:v>1.3988810110276999E-14</c:v>
                </c:pt>
                <c:pt idx="4">
                  <c:v>8</c:v>
                </c:pt>
                <c:pt idx="5">
                  <c:v>6.3844762809850396E-14</c:v>
                </c:pt>
                <c:pt idx="6">
                  <c:v>-4.98941166160449E-14</c:v>
                </c:pt>
                <c:pt idx="7">
                  <c:v>-6.7713196161278701E-14</c:v>
                </c:pt>
                <c:pt idx="8">
                  <c:v>3.6233718830865799E-14</c:v>
                </c:pt>
                <c:pt idx="9">
                  <c:v>5.65866797863634E-15</c:v>
                </c:pt>
                <c:pt idx="10">
                  <c:v>-1.1907141939104801E-14</c:v>
                </c:pt>
                <c:pt idx="11">
                  <c:v>-2.0025647806676299E-14</c:v>
                </c:pt>
                <c:pt idx="12">
                  <c:v>-1.43218770176645E-14</c:v>
                </c:pt>
                <c:pt idx="13">
                  <c:v>1.3045120539345599E-15</c:v>
                </c:pt>
                <c:pt idx="14">
                  <c:v>-3.21964677141295E-15</c:v>
                </c:pt>
                <c:pt idx="15">
                  <c:v>-1.4363510381088E-15</c:v>
                </c:pt>
                <c:pt idx="16">
                  <c:v>3.6776137690708303E-15</c:v>
                </c:pt>
                <c:pt idx="17">
                  <c:v>-1.9845236565174701E-15</c:v>
                </c:pt>
                <c:pt idx="18">
                  <c:v>-8.4446338810551001E-15</c:v>
                </c:pt>
                <c:pt idx="19">
                  <c:v>-6.9388939039072303E-16</c:v>
                </c:pt>
                <c:pt idx="20">
                  <c:v>1.08385522779031E-14</c:v>
                </c:pt>
                <c:pt idx="21">
                  <c:v>1.6923962231629698E-14</c:v>
                </c:pt>
                <c:pt idx="22">
                  <c:v>-3.5048353108635398E-14</c:v>
                </c:pt>
                <c:pt idx="23">
                  <c:v>-2.16042461698152E-14</c:v>
                </c:pt>
                <c:pt idx="24">
                  <c:v>1.0634686009409199E-15</c:v>
                </c:pt>
                <c:pt idx="25">
                  <c:v>2.1283322326759399E-14</c:v>
                </c:pt>
                <c:pt idx="26">
                  <c:v>8.2201606632637006E-14</c:v>
                </c:pt>
                <c:pt idx="27">
                  <c:v>3.7387454243642502E-13</c:v>
                </c:pt>
                <c:pt idx="28">
                  <c:v>7.9999999999999902</c:v>
                </c:pt>
                <c:pt idx="29">
                  <c:v>1.3988810110276999E-14</c:v>
                </c:pt>
                <c:pt idx="30">
                  <c:v>-3.2654434711787398E-14</c:v>
                </c:pt>
                <c:pt idx="31">
                  <c:v>-2.7852720130283599E-14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5-4982-AAFB-27FABED132E3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Hoja2!$AJ$5:$AJ$36</c:f>
              <c:numCache>
                <c:formatCode>0</c:formatCode>
                <c:ptCount val="32"/>
                <c:pt idx="0">
                  <c:v>-1.3461454173579999E-15</c:v>
                </c:pt>
                <c:pt idx="1">
                  <c:v>9.6381236325271402E-15</c:v>
                </c:pt>
                <c:pt idx="2">
                  <c:v>-7.5009443101237107E-15</c:v>
                </c:pt>
                <c:pt idx="3">
                  <c:v>1.3988810110276999E-14</c:v>
                </c:pt>
                <c:pt idx="4">
                  <c:v>8</c:v>
                </c:pt>
                <c:pt idx="5">
                  <c:v>6.3844762809850396E-14</c:v>
                </c:pt>
                <c:pt idx="6">
                  <c:v>-4.98941166160449E-14</c:v>
                </c:pt>
                <c:pt idx="7">
                  <c:v>-6.7713196161278701E-14</c:v>
                </c:pt>
                <c:pt idx="8">
                  <c:v>3.6233718830865799E-14</c:v>
                </c:pt>
                <c:pt idx="9">
                  <c:v>5.65866797863634E-15</c:v>
                </c:pt>
                <c:pt idx="10">
                  <c:v>-1.1907141939104801E-14</c:v>
                </c:pt>
                <c:pt idx="11">
                  <c:v>-2.0025647806676299E-14</c:v>
                </c:pt>
                <c:pt idx="12">
                  <c:v>-1.43218770176645E-14</c:v>
                </c:pt>
                <c:pt idx="13">
                  <c:v>1.3045120539345599E-15</c:v>
                </c:pt>
                <c:pt idx="14">
                  <c:v>-3.21964677141295E-15</c:v>
                </c:pt>
                <c:pt idx="15">
                  <c:v>-1.4363510381088E-15</c:v>
                </c:pt>
                <c:pt idx="16">
                  <c:v>3.6776137690708303E-15</c:v>
                </c:pt>
                <c:pt idx="17">
                  <c:v>-1.9845236565174701E-15</c:v>
                </c:pt>
                <c:pt idx="18">
                  <c:v>-8.4446338810551001E-15</c:v>
                </c:pt>
                <c:pt idx="19">
                  <c:v>-6.9388939039072303E-16</c:v>
                </c:pt>
                <c:pt idx="20">
                  <c:v>1.08385522779031E-14</c:v>
                </c:pt>
                <c:pt idx="21">
                  <c:v>1.6923962231629698E-14</c:v>
                </c:pt>
                <c:pt idx="22">
                  <c:v>-3.5048353108635398E-14</c:v>
                </c:pt>
                <c:pt idx="23">
                  <c:v>-2.16042461698152E-14</c:v>
                </c:pt>
                <c:pt idx="24">
                  <c:v>1.0634686009409199E-15</c:v>
                </c:pt>
                <c:pt idx="25">
                  <c:v>2.1283322326759399E-14</c:v>
                </c:pt>
                <c:pt idx="26">
                  <c:v>8.2201606632637006E-14</c:v>
                </c:pt>
                <c:pt idx="27">
                  <c:v>3.7387454243642502E-13</c:v>
                </c:pt>
                <c:pt idx="28">
                  <c:v>7.9999999999999902</c:v>
                </c:pt>
                <c:pt idx="29">
                  <c:v>1.3988810110276999E-14</c:v>
                </c:pt>
                <c:pt idx="30">
                  <c:v>-3.2654434711787398E-14</c:v>
                </c:pt>
                <c:pt idx="31">
                  <c:v>-2.7852720130283599E-14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75-4982-AAFB-27FABED13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900544"/>
        <c:axId val="395901856"/>
      </c:lineChart>
      <c:catAx>
        <c:axId val="3959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5901856"/>
        <c:crosses val="autoZero"/>
        <c:auto val="1"/>
        <c:lblAlgn val="ctr"/>
        <c:lblOffset val="100"/>
        <c:noMultiLvlLbl val="0"/>
      </c:catAx>
      <c:valAx>
        <c:axId val="3959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590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Hoja1!$AK$4:$AK$35</c:f>
              <c:numCache>
                <c:formatCode>0</c:formatCode>
                <c:ptCount val="32"/>
                <c:pt idx="0">
                  <c:v>0</c:v>
                </c:pt>
                <c:pt idx="1">
                  <c:v>1.97897254139434E-14</c:v>
                </c:pt>
                <c:pt idx="2">
                  <c:v>4.4353409833774997E-14</c:v>
                </c:pt>
                <c:pt idx="3">
                  <c:v>-2.30926389122033E-14</c:v>
                </c:pt>
                <c:pt idx="4">
                  <c:v>-1.06581410364015E-14</c:v>
                </c:pt>
                <c:pt idx="5">
                  <c:v>-9.9920072216264108E-16</c:v>
                </c:pt>
                <c:pt idx="6">
                  <c:v>-4.1300296516055798E-14</c:v>
                </c:pt>
                <c:pt idx="7">
                  <c:v>-6.9055872131684699E-14</c:v>
                </c:pt>
                <c:pt idx="8">
                  <c:v>5.5955240441107902E-14</c:v>
                </c:pt>
                <c:pt idx="9">
                  <c:v>1.22124532708767E-14</c:v>
                </c:pt>
                <c:pt idx="10">
                  <c:v>-2.8421709430404001E-14</c:v>
                </c:pt>
                <c:pt idx="11">
                  <c:v>-5.1403326040144697E-14</c:v>
                </c:pt>
                <c:pt idx="12">
                  <c:v>-7.6827433304060795E-14</c:v>
                </c:pt>
                <c:pt idx="13">
                  <c:v>5.4956039718945198E-14</c:v>
                </c:pt>
                <c:pt idx="14">
                  <c:v>6.93889390390723E-15</c:v>
                </c:pt>
                <c:pt idx="15">
                  <c:v>-5.3290705182007498E-15</c:v>
                </c:pt>
                <c:pt idx="16">
                  <c:v>-6.7699848411565401E-14</c:v>
                </c:pt>
                <c:pt idx="17">
                  <c:v>7.3357986352107206E-14</c:v>
                </c:pt>
                <c:pt idx="18">
                  <c:v>3.7969627442180398E-14</c:v>
                </c:pt>
                <c:pt idx="19">
                  <c:v>1.31006316905768E-14</c:v>
                </c:pt>
                <c:pt idx="20">
                  <c:v>-2.48689957516035E-14</c:v>
                </c:pt>
                <c:pt idx="21">
                  <c:v>-5.1070259132757201E-14</c:v>
                </c:pt>
                <c:pt idx="22">
                  <c:v>7.7382544816373398E-14</c:v>
                </c:pt>
                <c:pt idx="23">
                  <c:v>4.1078251911130798E-14</c:v>
                </c:pt>
                <c:pt idx="24">
                  <c:v>6.6613381477509402E-16</c:v>
                </c:pt>
                <c:pt idx="25">
                  <c:v>-2.0650148258027899E-14</c:v>
                </c:pt>
                <c:pt idx="26">
                  <c:v>-5.9063864910058303E-14</c:v>
                </c:pt>
                <c:pt idx="27">
                  <c:v>6.3060667798708904E-14</c:v>
                </c:pt>
                <c:pt idx="28">
                  <c:v>3.23074900165921E-14</c:v>
                </c:pt>
                <c:pt idx="29">
                  <c:v>2.30926389122033E-14</c:v>
                </c:pt>
                <c:pt idx="30">
                  <c:v>-3.8968828164343001E-14</c:v>
                </c:pt>
                <c:pt idx="31">
                  <c:v>8.8962170963213804E-13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B-4EF4-A210-D04F3DDFEC0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Hoja2!$AK$5:$AK$36</c:f>
              <c:numCache>
                <c:formatCode>0</c:formatCode>
                <c:ptCount val="32"/>
                <c:pt idx="0">
                  <c:v>0</c:v>
                </c:pt>
                <c:pt idx="1">
                  <c:v>-2.03483063732079E-15</c:v>
                </c:pt>
                <c:pt idx="2">
                  <c:v>-5.9223459469848202E-15</c:v>
                </c:pt>
                <c:pt idx="3">
                  <c:v>1.00752739484733E-14</c:v>
                </c:pt>
                <c:pt idx="4">
                  <c:v>4.1702752362482398E-14</c:v>
                </c:pt>
                <c:pt idx="5">
                  <c:v>-8.0000000000000195</c:v>
                </c:pt>
                <c:pt idx="6">
                  <c:v>6.7751360077750203E-14</c:v>
                </c:pt>
                <c:pt idx="7">
                  <c:v>5.6080140531378201E-14</c:v>
                </c:pt>
                <c:pt idx="8">
                  <c:v>-1.5175360967845099E-14</c:v>
                </c:pt>
                <c:pt idx="9">
                  <c:v>1.11716191852906E-15</c:v>
                </c:pt>
                <c:pt idx="10">
                  <c:v>2.9837243786801102E-16</c:v>
                </c:pt>
                <c:pt idx="11">
                  <c:v>-5.37070388162419E-15</c:v>
                </c:pt>
                <c:pt idx="12">
                  <c:v>-9.4854679666411796E-15</c:v>
                </c:pt>
                <c:pt idx="13">
                  <c:v>9.0691343324067506E-15</c:v>
                </c:pt>
                <c:pt idx="14">
                  <c:v>5.1243731480354897E-15</c:v>
                </c:pt>
                <c:pt idx="15">
                  <c:v>-1.59056795512313E-14</c:v>
                </c:pt>
                <c:pt idx="16">
                  <c:v>-1.1761981626265001E-14</c:v>
                </c:pt>
                <c:pt idx="17">
                  <c:v>2.6780661022129901E-14</c:v>
                </c:pt>
                <c:pt idx="18">
                  <c:v>1.03701769393894E-14</c:v>
                </c:pt>
                <c:pt idx="19">
                  <c:v>2.0747292772682601E-15</c:v>
                </c:pt>
                <c:pt idx="20">
                  <c:v>-1.0692835505920999E-14</c:v>
                </c:pt>
                <c:pt idx="21">
                  <c:v>3.03923552991137E-15</c:v>
                </c:pt>
                <c:pt idx="22">
                  <c:v>9.7144514654701197E-17</c:v>
                </c:pt>
                <c:pt idx="23">
                  <c:v>-6.0854099537266401E-15</c:v>
                </c:pt>
                <c:pt idx="24">
                  <c:v>-1.08246744900953E-15</c:v>
                </c:pt>
                <c:pt idx="25">
                  <c:v>6.25888230132432E-15</c:v>
                </c:pt>
                <c:pt idx="26">
                  <c:v>1.2582990205345401E-13</c:v>
                </c:pt>
                <c:pt idx="27">
                  <c:v>8.0000000000000604</c:v>
                </c:pt>
                <c:pt idx="28">
                  <c:v>-1.4993561947562701E-13</c:v>
                </c:pt>
                <c:pt idx="29">
                  <c:v>-1.00752739484733E-14</c:v>
                </c:pt>
                <c:pt idx="30">
                  <c:v>-6.2828214852927999E-14</c:v>
                </c:pt>
                <c:pt idx="31">
                  <c:v>-8.6351065187173504E-14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B-4EF4-A210-D04F3DDFE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428992"/>
        <c:axId val="385428008"/>
      </c:lineChart>
      <c:catAx>
        <c:axId val="38542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5428008"/>
        <c:crosses val="autoZero"/>
        <c:auto val="1"/>
        <c:lblAlgn val="ctr"/>
        <c:lblOffset val="100"/>
        <c:noMultiLvlLbl val="0"/>
      </c:catAx>
      <c:valAx>
        <c:axId val="38542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542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Hoja1!$AJ$4:$AJ$35</c:f>
              <c:numCache>
                <c:formatCode>0</c:formatCode>
                <c:ptCount val="32"/>
                <c:pt idx="0">
                  <c:v>-2.2204460492503099E-15</c:v>
                </c:pt>
                <c:pt idx="1">
                  <c:v>15.999999999999901</c:v>
                </c:pt>
                <c:pt idx="2">
                  <c:v>7.7715611723761005E-15</c:v>
                </c:pt>
                <c:pt idx="3">
                  <c:v>-4.4408920985006301E-15</c:v>
                </c:pt>
                <c:pt idx="4">
                  <c:v>-3.3195668436292199E-14</c:v>
                </c:pt>
                <c:pt idx="5">
                  <c:v>-3.1641356201816999E-14</c:v>
                </c:pt>
                <c:pt idx="6">
                  <c:v>-5.4511950509095199E-14</c:v>
                </c:pt>
                <c:pt idx="7">
                  <c:v>-9.9281693977104598E-14</c:v>
                </c:pt>
                <c:pt idx="8">
                  <c:v>5.8518242533264999E-14</c:v>
                </c:pt>
                <c:pt idx="9">
                  <c:v>1.11577413974828E-14</c:v>
                </c:pt>
                <c:pt idx="10">
                  <c:v>-9.6034291630075993E-15</c:v>
                </c:pt>
                <c:pt idx="11">
                  <c:v>-3.7081449022480197E-14</c:v>
                </c:pt>
                <c:pt idx="12">
                  <c:v>-4.5408121707168903E-14</c:v>
                </c:pt>
                <c:pt idx="13">
                  <c:v>-2.2204460492503099E-15</c:v>
                </c:pt>
                <c:pt idx="14">
                  <c:v>-1.3988810110276999E-14</c:v>
                </c:pt>
                <c:pt idx="15">
                  <c:v>6.9944050551384901E-15</c:v>
                </c:pt>
                <c:pt idx="16">
                  <c:v>1.22124532708767E-15</c:v>
                </c:pt>
                <c:pt idx="17">
                  <c:v>-5.6621374255882999E-15</c:v>
                </c:pt>
                <c:pt idx="18">
                  <c:v>-7.5495165674510597E-15</c:v>
                </c:pt>
                <c:pt idx="19">
                  <c:v>-1.06581410364015E-14</c:v>
                </c:pt>
                <c:pt idx="20">
                  <c:v>2.4424906541753401E-15</c:v>
                </c:pt>
                <c:pt idx="21">
                  <c:v>3.2085445411666999E-14</c:v>
                </c:pt>
                <c:pt idx="22">
                  <c:v>-5.8231197641589498E-14</c:v>
                </c:pt>
                <c:pt idx="23">
                  <c:v>-4.49917880729345E-14</c:v>
                </c:pt>
                <c:pt idx="24">
                  <c:v>-9.6568760842486107E-16</c:v>
                </c:pt>
                <c:pt idx="25">
                  <c:v>2.16493489801906E-14</c:v>
                </c:pt>
                <c:pt idx="26">
                  <c:v>9.7366559259626203E-14</c:v>
                </c:pt>
                <c:pt idx="27">
                  <c:v>-1.4310774787418301E-13</c:v>
                </c:pt>
                <c:pt idx="28">
                  <c:v>-8.6375351315837204E-14</c:v>
                </c:pt>
                <c:pt idx="29">
                  <c:v>-4.4408920985006301E-15</c:v>
                </c:pt>
                <c:pt idx="30">
                  <c:v>2.5968116545982401E-13</c:v>
                </c:pt>
                <c:pt idx="31">
                  <c:v>16.000000000000199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C-47E1-AEB7-B872B5B7F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478768"/>
        <c:axId val="361475816"/>
      </c:lineChart>
      <c:catAx>
        <c:axId val="36147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1475816"/>
        <c:crosses val="autoZero"/>
        <c:auto val="1"/>
        <c:lblAlgn val="ctr"/>
        <c:lblOffset val="100"/>
        <c:noMultiLvlLbl val="0"/>
      </c:catAx>
      <c:valAx>
        <c:axId val="36147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147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1910323709536312E-2"/>
          <c:y val="0.15319444444444447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Hoja1!$AL$3</c:f>
              <c:strCache>
                <c:ptCount val="1"/>
                <c:pt idx="0">
                  <c:v>MAGNITUD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Hoja1!$AL$4:$AL$35</c:f>
              <c:numCache>
                <c:formatCode>General</c:formatCode>
                <c:ptCount val="32"/>
                <c:pt idx="0">
                  <c:v>2.2204460492503099E-15</c:v>
                </c:pt>
                <c:pt idx="1">
                  <c:v>15.999999999999901</c:v>
                </c:pt>
                <c:pt idx="2">
                  <c:v>4.5029125318384682E-14</c:v>
                </c:pt>
                <c:pt idx="3">
                  <c:v>2.351577118786308E-14</c:v>
                </c:pt>
                <c:pt idx="4">
                  <c:v>3.4864715304790199E-14</c:v>
                </c:pt>
                <c:pt idx="5">
                  <c:v>3.1657129123997228E-14</c:v>
                </c:pt>
                <c:pt idx="6">
                  <c:v>6.8390549351647807E-14</c:v>
                </c:pt>
                <c:pt idx="7">
                  <c:v>1.2093621556354009E-13</c:v>
                </c:pt>
                <c:pt idx="8">
                  <c:v>8.0965261946122431E-14</c:v>
                </c:pt>
                <c:pt idx="9">
                  <c:v>1.6542043646008447E-14</c:v>
                </c:pt>
                <c:pt idx="10">
                  <c:v>3.0000323642174609E-14</c:v>
                </c:pt>
                <c:pt idx="11">
                  <c:v>6.3382456481239474E-14</c:v>
                </c:pt>
                <c:pt idx="12">
                  <c:v>8.9243218370153891E-14</c:v>
                </c:pt>
                <c:pt idx="13">
                  <c:v>5.5000878922503717E-14</c:v>
                </c:pt>
                <c:pt idx="14">
                  <c:v>1.5615218759628983E-14</c:v>
                </c:pt>
                <c:pt idx="15">
                  <c:v>8.7932186748256917E-15</c:v>
                </c:pt>
                <c:pt idx="16">
                  <c:v>6.7710862607840607E-14</c:v>
                </c:pt>
                <c:pt idx="17">
                  <c:v>7.3576177950897896E-14</c:v>
                </c:pt>
                <c:pt idx="18">
                  <c:v>3.8712889436209704E-14</c:v>
                </c:pt>
                <c:pt idx="19">
                  <c:v>1.6888532234743514E-14</c:v>
                </c:pt>
                <c:pt idx="20">
                  <c:v>2.4988651630070134E-14</c:v>
                </c:pt>
                <c:pt idx="21">
                  <c:v>6.0312910517997995E-14</c:v>
                </c:pt>
                <c:pt idx="22">
                  <c:v>9.6844879167831564E-14</c:v>
                </c:pt>
                <c:pt idx="23">
                  <c:v>6.092358963549482E-14</c:v>
                </c:pt>
                <c:pt idx="24">
                  <c:v>1.1731525119319086E-15</c:v>
                </c:pt>
                <c:pt idx="25">
                  <c:v>2.9918605153726876E-14</c:v>
                </c:pt>
                <c:pt idx="26">
                  <c:v>1.1388058219104747E-13</c:v>
                </c:pt>
                <c:pt idx="27">
                  <c:v>1.563856621459904E-13</c:v>
                </c:pt>
                <c:pt idx="28">
                  <c:v>9.2219711700408701E-14</c:v>
                </c:pt>
                <c:pt idx="29">
                  <c:v>2.351577118786308E-14</c:v>
                </c:pt>
                <c:pt idx="30">
                  <c:v>2.6258879881494297E-13</c:v>
                </c:pt>
                <c:pt idx="31">
                  <c:v>16.000000000000199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0-49E3-96A6-FDDF1989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18440"/>
        <c:axId val="470285768"/>
      </c:lineChart>
      <c:catAx>
        <c:axId val="470518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0285768"/>
        <c:crosses val="autoZero"/>
        <c:auto val="1"/>
        <c:lblAlgn val="ctr"/>
        <c:lblOffset val="100"/>
        <c:noMultiLvlLbl val="0"/>
      </c:catAx>
      <c:valAx>
        <c:axId val="47028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0518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Magnitud</a:t>
            </a:r>
          </a:p>
        </c:rich>
      </c:tx>
      <c:layout>
        <c:manualLayout>
          <c:xMode val="edge"/>
          <c:yMode val="edge"/>
          <c:x val="0.359680446194225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Hoja2!$AJ$5:$AJ$36</c:f>
              <c:numCache>
                <c:formatCode>0</c:formatCode>
                <c:ptCount val="32"/>
                <c:pt idx="0">
                  <c:v>-1.3461454173579999E-15</c:v>
                </c:pt>
                <c:pt idx="1">
                  <c:v>9.6381236325271402E-15</c:v>
                </c:pt>
                <c:pt idx="2">
                  <c:v>-7.5009443101237107E-15</c:v>
                </c:pt>
                <c:pt idx="3">
                  <c:v>1.3988810110276999E-14</c:v>
                </c:pt>
                <c:pt idx="4">
                  <c:v>8</c:v>
                </c:pt>
                <c:pt idx="5">
                  <c:v>6.3844762809850396E-14</c:v>
                </c:pt>
                <c:pt idx="6">
                  <c:v>-4.98941166160449E-14</c:v>
                </c:pt>
                <c:pt idx="7">
                  <c:v>-6.7713196161278701E-14</c:v>
                </c:pt>
                <c:pt idx="8">
                  <c:v>3.6233718830865799E-14</c:v>
                </c:pt>
                <c:pt idx="9">
                  <c:v>5.65866797863634E-15</c:v>
                </c:pt>
                <c:pt idx="10">
                  <c:v>-1.1907141939104801E-14</c:v>
                </c:pt>
                <c:pt idx="11">
                  <c:v>-2.0025647806676299E-14</c:v>
                </c:pt>
                <c:pt idx="12">
                  <c:v>-1.43218770176645E-14</c:v>
                </c:pt>
                <c:pt idx="13">
                  <c:v>1.3045120539345599E-15</c:v>
                </c:pt>
                <c:pt idx="14">
                  <c:v>-3.21964677141295E-15</c:v>
                </c:pt>
                <c:pt idx="15">
                  <c:v>-1.4363510381088E-15</c:v>
                </c:pt>
                <c:pt idx="16">
                  <c:v>3.6776137690708303E-15</c:v>
                </c:pt>
                <c:pt idx="17">
                  <c:v>-1.9845236565174701E-15</c:v>
                </c:pt>
                <c:pt idx="18">
                  <c:v>-8.4446338810551001E-15</c:v>
                </c:pt>
                <c:pt idx="19">
                  <c:v>-6.9388939039072303E-16</c:v>
                </c:pt>
                <c:pt idx="20">
                  <c:v>1.08385522779031E-14</c:v>
                </c:pt>
                <c:pt idx="21">
                  <c:v>1.6923962231629698E-14</c:v>
                </c:pt>
                <c:pt idx="22">
                  <c:v>-3.5048353108635398E-14</c:v>
                </c:pt>
                <c:pt idx="23">
                  <c:v>-2.16042461698152E-14</c:v>
                </c:pt>
                <c:pt idx="24">
                  <c:v>1.0634686009409199E-15</c:v>
                </c:pt>
                <c:pt idx="25">
                  <c:v>2.1283322326759399E-14</c:v>
                </c:pt>
                <c:pt idx="26">
                  <c:v>8.2201606632637006E-14</c:v>
                </c:pt>
                <c:pt idx="27">
                  <c:v>3.7387454243642502E-13</c:v>
                </c:pt>
                <c:pt idx="28">
                  <c:v>7.9999999999999902</c:v>
                </c:pt>
                <c:pt idx="29">
                  <c:v>1.3988810110276999E-14</c:v>
                </c:pt>
                <c:pt idx="30">
                  <c:v>-3.2654434711787398E-14</c:v>
                </c:pt>
                <c:pt idx="31">
                  <c:v>-2.7852720130283599E-14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5-4C14-9956-393E81738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124568"/>
        <c:axId val="417131456"/>
      </c:scatterChart>
      <c:valAx>
        <c:axId val="417124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7131456"/>
        <c:crosses val="autoZero"/>
        <c:crossBetween val="midCat"/>
      </c:valAx>
      <c:valAx>
        <c:axId val="41713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7124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Hoja2!$AK$5:$AK$36</c:f>
              <c:numCache>
                <c:formatCode>0</c:formatCode>
                <c:ptCount val="32"/>
                <c:pt idx="0">
                  <c:v>0</c:v>
                </c:pt>
                <c:pt idx="1">
                  <c:v>-2.03483063732079E-15</c:v>
                </c:pt>
                <c:pt idx="2">
                  <c:v>-5.9223459469848202E-15</c:v>
                </c:pt>
                <c:pt idx="3">
                  <c:v>1.00752739484733E-14</c:v>
                </c:pt>
                <c:pt idx="4">
                  <c:v>4.1702752362482398E-14</c:v>
                </c:pt>
                <c:pt idx="5">
                  <c:v>-8.0000000000000195</c:v>
                </c:pt>
                <c:pt idx="6">
                  <c:v>6.7751360077750203E-14</c:v>
                </c:pt>
                <c:pt idx="7">
                  <c:v>5.6080140531378201E-14</c:v>
                </c:pt>
                <c:pt idx="8">
                  <c:v>-1.5175360967845099E-14</c:v>
                </c:pt>
                <c:pt idx="9">
                  <c:v>1.11716191852906E-15</c:v>
                </c:pt>
                <c:pt idx="10">
                  <c:v>2.9837243786801102E-16</c:v>
                </c:pt>
                <c:pt idx="11">
                  <c:v>-5.37070388162419E-15</c:v>
                </c:pt>
                <c:pt idx="12">
                  <c:v>-9.4854679666411796E-15</c:v>
                </c:pt>
                <c:pt idx="13">
                  <c:v>9.0691343324067506E-15</c:v>
                </c:pt>
                <c:pt idx="14">
                  <c:v>5.1243731480354897E-15</c:v>
                </c:pt>
                <c:pt idx="15">
                  <c:v>-1.59056795512313E-14</c:v>
                </c:pt>
                <c:pt idx="16">
                  <c:v>-1.1761981626265001E-14</c:v>
                </c:pt>
                <c:pt idx="17">
                  <c:v>2.6780661022129901E-14</c:v>
                </c:pt>
                <c:pt idx="18">
                  <c:v>1.03701769393894E-14</c:v>
                </c:pt>
                <c:pt idx="19">
                  <c:v>2.0747292772682601E-15</c:v>
                </c:pt>
                <c:pt idx="20">
                  <c:v>-1.0692835505920999E-14</c:v>
                </c:pt>
                <c:pt idx="21">
                  <c:v>3.03923552991137E-15</c:v>
                </c:pt>
                <c:pt idx="22">
                  <c:v>9.7144514654701197E-17</c:v>
                </c:pt>
                <c:pt idx="23">
                  <c:v>-6.0854099537266401E-15</c:v>
                </c:pt>
                <c:pt idx="24">
                  <c:v>-1.08246744900953E-15</c:v>
                </c:pt>
                <c:pt idx="25">
                  <c:v>6.25888230132432E-15</c:v>
                </c:pt>
                <c:pt idx="26">
                  <c:v>1.2582990205345401E-13</c:v>
                </c:pt>
                <c:pt idx="27">
                  <c:v>8.0000000000000604</c:v>
                </c:pt>
                <c:pt idx="28">
                  <c:v>-1.4993561947562701E-13</c:v>
                </c:pt>
                <c:pt idx="29">
                  <c:v>-1.00752739484733E-14</c:v>
                </c:pt>
                <c:pt idx="30">
                  <c:v>-6.2828214852927999E-14</c:v>
                </c:pt>
                <c:pt idx="31">
                  <c:v>-8.6351065187173504E-14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4-4812-A6A2-EA4573802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852880"/>
        <c:axId val="534853536"/>
      </c:lineChart>
      <c:catAx>
        <c:axId val="53485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4853536"/>
        <c:crosses val="autoZero"/>
        <c:auto val="1"/>
        <c:lblAlgn val="ctr"/>
        <c:lblOffset val="100"/>
        <c:noMultiLvlLbl val="0"/>
      </c:catAx>
      <c:valAx>
        <c:axId val="5348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485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Hoja2!$AL$5:$AL$36</c:f>
              <c:numCache>
                <c:formatCode>General</c:formatCode>
                <c:ptCount val="32"/>
                <c:pt idx="0">
                  <c:v>1.3461454173579999E-15</c:v>
                </c:pt>
                <c:pt idx="1">
                  <c:v>9.8505818548173839E-15</c:v>
                </c:pt>
                <c:pt idx="2">
                  <c:v>9.5571097649522057E-15</c:v>
                </c:pt>
                <c:pt idx="3">
                  <c:v>1.7239430194706923E-14</c:v>
                </c:pt>
                <c:pt idx="4">
                  <c:v>8</c:v>
                </c:pt>
                <c:pt idx="5">
                  <c:v>8.0000000000000195</c:v>
                </c:pt>
                <c:pt idx="6">
                  <c:v>8.4140772906364799E-14</c:v>
                </c:pt>
                <c:pt idx="7">
                  <c:v>8.7920754639589712E-14</c:v>
                </c:pt>
                <c:pt idx="8">
                  <c:v>3.9283252930716359E-14</c:v>
                </c:pt>
                <c:pt idx="9">
                  <c:v>5.7678916464038928E-15</c:v>
                </c:pt>
                <c:pt idx="10">
                  <c:v>1.1910879701754516E-14</c:v>
                </c:pt>
                <c:pt idx="11">
                  <c:v>2.0733331383574913E-14</c:v>
                </c:pt>
                <c:pt idx="12">
                  <c:v>1.717819151876246E-14</c:v>
                </c:pt>
                <c:pt idx="13">
                  <c:v>9.1624750607081824E-15</c:v>
                </c:pt>
                <c:pt idx="14">
                  <c:v>6.0518861103772425E-15</c:v>
                </c:pt>
                <c:pt idx="15">
                  <c:v>1.5970402195659751E-14</c:v>
                </c:pt>
                <c:pt idx="16">
                  <c:v>1.2323516333054248E-14</c:v>
                </c:pt>
                <c:pt idx="17">
                  <c:v>2.6854089798864999E-14</c:v>
                </c:pt>
                <c:pt idx="18">
                  <c:v>1.337357136816144E-14</c:v>
                </c:pt>
                <c:pt idx="19">
                  <c:v>2.1876892055433481E-15</c:v>
                </c:pt>
                <c:pt idx="20">
                  <c:v>1.5225338966260269E-14</c:v>
                </c:pt>
                <c:pt idx="21">
                  <c:v>1.7194692501580367E-14</c:v>
                </c:pt>
                <c:pt idx="22">
                  <c:v>3.5048487737480489E-14</c:v>
                </c:pt>
                <c:pt idx="23">
                  <c:v>2.2444947468659622E-14</c:v>
                </c:pt>
                <c:pt idx="24">
                  <c:v>1.5174654010396538E-15</c:v>
                </c:pt>
                <c:pt idx="25">
                  <c:v>2.2184531027870883E-14</c:v>
                </c:pt>
                <c:pt idx="26">
                  <c:v>1.5030059342453915E-13</c:v>
                </c:pt>
                <c:pt idx="27">
                  <c:v>8.0000000000000604</c:v>
                </c:pt>
                <c:pt idx="28">
                  <c:v>7.9999999999999902</c:v>
                </c:pt>
                <c:pt idx="29">
                  <c:v>1.7239430194706923E-14</c:v>
                </c:pt>
                <c:pt idx="30">
                  <c:v>7.0807462092296934E-14</c:v>
                </c:pt>
                <c:pt idx="31">
                  <c:v>9.0731915430103157E-14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3-4078-AE19-8D1C2CAB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624776"/>
        <c:axId val="366626416"/>
      </c:lineChart>
      <c:catAx>
        <c:axId val="366624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6626416"/>
        <c:crosses val="autoZero"/>
        <c:auto val="1"/>
        <c:lblAlgn val="ctr"/>
        <c:lblOffset val="100"/>
        <c:noMultiLvlLbl val="0"/>
      </c:catAx>
      <c:valAx>
        <c:axId val="3666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6624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BE902F-8C95-4653-865A-60AC72E58919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B9157C-E854-4B7A-B342-06EE5BBFB1C6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F18516-FDA6-4547-AD2C-6A228A2E0E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7F88C5-2FDD-4067-AFB9-A2C3D9DDC7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704850</xdr:colOff>
      <xdr:row>18</xdr:row>
      <xdr:rowOff>138112</xdr:rowOff>
    </xdr:from>
    <xdr:to>
      <xdr:col>44</xdr:col>
      <xdr:colOff>704850</xdr:colOff>
      <xdr:row>33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36F512-401E-42A8-BCD6-BCE2169BA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609606</xdr:colOff>
      <xdr:row>2</xdr:row>
      <xdr:rowOff>33337</xdr:rowOff>
    </xdr:from>
    <xdr:to>
      <xdr:col>44</xdr:col>
      <xdr:colOff>609606</xdr:colOff>
      <xdr:row>16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613038-E49B-4086-B2BF-A686DAF5B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200025</xdr:colOff>
      <xdr:row>4</xdr:row>
      <xdr:rowOff>138112</xdr:rowOff>
    </xdr:from>
    <xdr:to>
      <xdr:col>46</xdr:col>
      <xdr:colOff>200025</xdr:colOff>
      <xdr:row>19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9549BC-87CF-46C6-8402-558C3B17B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704850</xdr:colOff>
      <xdr:row>19</xdr:row>
      <xdr:rowOff>166687</xdr:rowOff>
    </xdr:from>
    <xdr:to>
      <xdr:col>45</xdr:col>
      <xdr:colOff>742950</xdr:colOff>
      <xdr:row>34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0FAEE0-66A1-4B6F-9D29-1EE8DF279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619125</xdr:colOff>
      <xdr:row>35</xdr:row>
      <xdr:rowOff>90487</xdr:rowOff>
    </xdr:from>
    <xdr:to>
      <xdr:col>45</xdr:col>
      <xdr:colOff>619125</xdr:colOff>
      <xdr:row>49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6B0095-4619-4220-AE22-28F51E3CC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9448-70BE-48D8-8180-10471E11D182}">
  <dimension ref="A1:AL35"/>
  <sheetViews>
    <sheetView workbookViewId="0">
      <pane xSplit="1" topLeftCell="AI1" activePane="topRight" state="frozen"/>
      <selection pane="topRight" activeCell="AV19" sqref="AV19"/>
    </sheetView>
  </sheetViews>
  <sheetFormatPr baseColWidth="10" defaultRowHeight="15" x14ac:dyDescent="0.25"/>
  <cols>
    <col min="1" max="1" width="17.42578125" bestFit="1" customWidth="1"/>
    <col min="2" max="2" width="36.85546875" bestFit="1" customWidth="1"/>
    <col min="3" max="3" width="11.85546875" bestFit="1" customWidth="1"/>
    <col min="4" max="4" width="38.85546875" bestFit="1" customWidth="1"/>
    <col min="5" max="5" width="39.85546875" bestFit="1" customWidth="1"/>
    <col min="6" max="6" width="39.5703125" bestFit="1" customWidth="1"/>
    <col min="7" max="8" width="39.85546875" bestFit="1" customWidth="1"/>
    <col min="9" max="9" width="38.85546875" bestFit="1" customWidth="1"/>
    <col min="10" max="10" width="38.140625" bestFit="1" customWidth="1"/>
    <col min="11" max="11" width="42.7109375" bestFit="1" customWidth="1"/>
    <col min="12" max="12" width="39.5703125" bestFit="1" customWidth="1"/>
    <col min="13" max="13" width="38.85546875" bestFit="1" customWidth="1"/>
    <col min="14" max="14" width="39.85546875" bestFit="1" customWidth="1"/>
    <col min="15" max="15" width="39.140625" bestFit="1" customWidth="1"/>
    <col min="16" max="16" width="37.140625" bestFit="1" customWidth="1"/>
    <col min="17" max="17" width="39.140625" bestFit="1" customWidth="1"/>
    <col min="18" max="18" width="38.85546875" bestFit="1" customWidth="1"/>
    <col min="19" max="19" width="39.5703125" bestFit="1" customWidth="1"/>
    <col min="20" max="20" width="37.140625" bestFit="1" customWidth="1"/>
    <col min="21" max="22" width="39.85546875" bestFit="1" customWidth="1"/>
    <col min="23" max="23" width="39.5703125" bestFit="1" customWidth="1"/>
    <col min="24" max="24" width="37.140625" bestFit="1" customWidth="1"/>
    <col min="25" max="25" width="38.140625" bestFit="1" customWidth="1"/>
    <col min="26" max="26" width="39.85546875" bestFit="1" customWidth="1"/>
    <col min="27" max="27" width="42.7109375" bestFit="1" customWidth="1"/>
    <col min="28" max="28" width="38.140625" bestFit="1" customWidth="1"/>
    <col min="29" max="29" width="39.140625" bestFit="1" customWidth="1"/>
    <col min="30" max="30" width="36" bestFit="1" customWidth="1"/>
    <col min="31" max="31" width="39.85546875" bestFit="1" customWidth="1"/>
    <col min="32" max="34" width="36" bestFit="1" customWidth="1"/>
    <col min="35" max="35" width="41.5703125" bestFit="1" customWidth="1"/>
    <col min="36" max="36" width="6.5703125" bestFit="1" customWidth="1"/>
    <col min="37" max="37" width="12.42578125" bestFit="1" customWidth="1"/>
  </cols>
  <sheetData>
    <row r="1" spans="1:38" x14ac:dyDescent="0.25">
      <c r="A1" t="s">
        <v>0</v>
      </c>
      <c r="C1" t="s">
        <v>1</v>
      </c>
      <c r="D1" t="s">
        <v>2</v>
      </c>
    </row>
    <row r="2" spans="1:38" x14ac:dyDescent="0.25">
      <c r="A2">
        <v>32</v>
      </c>
      <c r="C2" t="s">
        <v>3</v>
      </c>
      <c r="D2">
        <f>COS(2*PI()*62.5*$E$2)</f>
        <v>0.98078528040323043</v>
      </c>
      <c r="E2">
        <f>1/2000</f>
        <v>5.0000000000000001E-4</v>
      </c>
    </row>
    <row r="3" spans="1:38" x14ac:dyDescent="0.25">
      <c r="A3" s="1" t="s">
        <v>4</v>
      </c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 t="s">
        <v>6</v>
      </c>
      <c r="AJ3" s="3" t="s">
        <v>7</v>
      </c>
      <c r="AK3" s="3" t="s">
        <v>8</v>
      </c>
      <c r="AL3" t="s">
        <v>10</v>
      </c>
    </row>
    <row r="4" spans="1:38" x14ac:dyDescent="0.25">
      <c r="A4" s="2">
        <v>0</v>
      </c>
      <c r="B4" t="str">
        <f>IMEXP(COMPLEX(0,(-2*PI()*A4)/$A$2,"i"))</f>
        <v>1</v>
      </c>
      <c r="C4" t="str">
        <f>IMPRODUCT(COS(2*PI()*62.5*$C$3*$E$2),IMPOWER(B4,$C$3))</f>
        <v>1</v>
      </c>
      <c r="D4" t="str">
        <f>IMPRODUCT(COS(2*PI()*62.5*$D$3*$E$2),IMPOWER(B4,$D$3))</f>
        <v>0.98078528040323</v>
      </c>
      <c r="E4" t="str">
        <f>IMPRODUCT(COS(2*PI()*62.5*$E$3*$E$2),IMPOWER(B4,$E$3))</f>
        <v>0.923879532511287</v>
      </c>
      <c r="F4" t="str">
        <f>IMPRODUCT(COS(2*PI()*62.5*$F$3*$E$2),IMPOWER(B4,$F$3))</f>
        <v>0.831469612302545</v>
      </c>
      <c r="G4" t="str">
        <f>IMPRODUCT(COS(2*PI()*62.5*$G$3*$E$2),IMPOWER(B4,$G$3))</f>
        <v>0.707106781186548</v>
      </c>
      <c r="H4" t="str">
        <f>IMPRODUCT(COS(2*PI()*62.5*$H$3*$E$2),IMPOWER(B4,$H$3))</f>
        <v>0.555570233019602</v>
      </c>
      <c r="I4" t="str">
        <f>IMPRODUCT(COS(2*PI()*62.5*$I$3*$E$2),IMPOWER(B4,$I$3))</f>
        <v>0.38268343236509</v>
      </c>
      <c r="J4" t="str">
        <f>IMPRODUCT(COS(2*PI()*62.5*$J$3*$E$2),IMPOWER(B4,$J$3))</f>
        <v>0.195090322016128</v>
      </c>
      <c r="K4" t="str">
        <f>IMPRODUCT(COS(2*PI()*62.5*$K$3*$E$2),IMPOWER(B4,$K$3))</f>
        <v>6.1257422745431E-17</v>
      </c>
      <c r="L4" t="str">
        <f>IMPRODUCT(COS(2*PI()*62.5*$L$3*$E$2),IMPOWER(B4,$L$3))</f>
        <v>-0.195090322016128</v>
      </c>
      <c r="M4" t="str">
        <f>IMPRODUCT(COS(2*PI()*62.5*$M$3*$E$2),IMPOWER(B4,$M$3))</f>
        <v>-0.38268343236509</v>
      </c>
      <c r="N4" t="str">
        <f>IMPRODUCT(COS(2*PI()*62.5*$N$3*$E$2),IMPOWER(B4,$N$3))</f>
        <v>-0.555570233019602</v>
      </c>
      <c r="O4" t="str">
        <f>IMPRODUCT(COS(2*PI()*62.5*$O$3*$E$2),IMPOWER(B4,$O$3))</f>
        <v>-0.707106781186547</v>
      </c>
      <c r="P4" t="str">
        <f>IMPRODUCT(COS(2*PI()*62.5*$P$3*$E$2),IMPOWER(B4,$P$3))</f>
        <v>-0.831469612302545</v>
      </c>
      <c r="Q4" t="str">
        <f>IMPRODUCT(COS(2*PI()*62.5*$Q$3*$E$2),IMPOWER(B4,$Q$3))</f>
        <v>-0.923879532511287</v>
      </c>
      <c r="R4" t="str">
        <f>IMPRODUCT(COS(2*PI()*62.5*$R$3*$E$2),IMPOWER(B4,$R$3))</f>
        <v>-0.98078528040323</v>
      </c>
      <c r="S4" t="str">
        <f>IMPRODUCT(COS(2*PI()*62.5*$S$3*$E$2),IMPOWER(B4,$S$3))</f>
        <v>-1</v>
      </c>
      <c r="T4" t="str">
        <f>IMPRODUCT(COS(2*PI()*62.5*$T$3*$E$2),IMPOWER(B4,$T$3))</f>
        <v>-0.98078528040323</v>
      </c>
      <c r="U4" t="str">
        <f>IMPRODUCT(COS(2*PI()*62.5*$U$3*$E$2),IMPOWER(B4,$U$3))</f>
        <v>-0.923879532511287</v>
      </c>
      <c r="V4" t="str">
        <f>IMPRODUCT(COS(2*PI()*62.5*$V$3*$E$2),IMPOWER(B4,$V$3))</f>
        <v>-0.831469612302545</v>
      </c>
      <c r="W4" t="str">
        <f>IMPRODUCT(COS(2*PI()*62.5*$W$3*$E$2),IMPOWER(B4,$W$3))</f>
        <v>-0.707106781186548</v>
      </c>
      <c r="X4" t="str">
        <f>IMPRODUCT(COS(2*PI()*62.5*$X$3*$E$2),IMPOWER(B4,$X$3))</f>
        <v>-0.555570233019602</v>
      </c>
      <c r="Y4" t="str">
        <f>IMPRODUCT(COS(2*PI()*62.5*$Y$3*$E$2),IMPOWER(B4,$Y$3))</f>
        <v>-0.38268343236509</v>
      </c>
      <c r="Z4" t="str">
        <f>IMPRODUCT(COS(2*PI()*62.5*$Z$3*$E$2),IMPOWER(B4,$Z$3))</f>
        <v>-0.195090322016129</v>
      </c>
      <c r="AA4" t="str">
        <f>IMPRODUCT(COS(2*PI()*62.5*$AA$3*$E$2),IMPOWER(B4,$AA$3))</f>
        <v>-1.83772268236293E-16</v>
      </c>
      <c r="AB4" t="str">
        <f>IMPRODUCT(COS(2*PI()*62.5*$AB$3*$E$2),IMPOWER(B4,$AB$3))</f>
        <v>0.195090322016127</v>
      </c>
      <c r="AC4" t="str">
        <f>IMPRODUCT(COS(2*PI()*62.5*$AC$3*$E$2),IMPOWER(B4,$AC$3))</f>
        <v>0.382683432365089</v>
      </c>
      <c r="AD4" t="str">
        <f>IMPRODUCT(COS(2*PI()*62.5*$AD$3*$E$2),IMPOWER(B4,$AD$3))</f>
        <v>0.555570233019602</v>
      </c>
      <c r="AE4" t="str">
        <f>IMPRODUCT(COS(2*PI()*62.5*$AE$3*$E$2),IMPOWER(B4,$AE$3))</f>
        <v>0.707106781186547</v>
      </c>
      <c r="AF4" t="str">
        <f>IMPRODUCT(COS(2*PI()*62.5*$AF$3*$E$2),IMPOWER(B4,$AF$3))</f>
        <v>0.831469612302545</v>
      </c>
      <c r="AG4" t="str">
        <f>IMPRODUCT(COS(2*PI()*62.5*$AG$3*$E$2),IMPOWER(B4,$AG$3))</f>
        <v>0.923879532511287</v>
      </c>
      <c r="AH4" t="str">
        <f>IMPRODUCT(COS(2*PI()*62.5*$AH$3*$E$2),IMPOWER(B4,$AH$3))</f>
        <v>0.98078528040323</v>
      </c>
      <c r="AI4" t="str">
        <f>IMSUM(C4:AH4)</f>
        <v>-2.22044604925031E-15</v>
      </c>
      <c r="AJ4" s="4">
        <f>+IMREAL(AI4)</f>
        <v>-2.2204460492503099E-15</v>
      </c>
      <c r="AK4" s="4">
        <f>+IMAGINARY(AI4)</f>
        <v>0</v>
      </c>
      <c r="AL4">
        <f>+SQRT(POWER((AJ4),2)+POWER(AK4,2))</f>
        <v>2.2204460492503099E-15</v>
      </c>
    </row>
    <row r="5" spans="1:38" x14ac:dyDescent="0.25">
      <c r="A5" s="2">
        <v>1</v>
      </c>
      <c r="B5" t="str">
        <f t="shared" ref="B5:B35" si="0">IMEXP(COMPLEX(0,(-2*PI()*A5)/$A$2,"i"))</f>
        <v>0.98078528040323-0.195090322016128i</v>
      </c>
      <c r="C5" t="str">
        <f t="shared" ref="C5:C35" si="1">IMPRODUCT(COS(2*PI()*62.5*$C$3*$E$2),IMPOWER(B5,$C$3))</f>
        <v>1</v>
      </c>
      <c r="D5" t="str">
        <f t="shared" ref="D5:D35" si="2">IMPRODUCT(COS(2*PI()*62.5*$D$3*$E$2),IMPOWER(B5,$D$3))</f>
        <v>0.961939766255643-0.191341716182545i</v>
      </c>
      <c r="E5" t="str">
        <f t="shared" ref="E5:E35" si="3">IMPRODUCT(COS(2*PI()*62.5*$E$3*$E$2),IMPOWER(B5,$E$3))</f>
        <v>0.853553390593273-0.353553390593273i</v>
      </c>
      <c r="F5" t="str">
        <f t="shared" ref="F5:F35" si="4">IMPRODUCT(COS(2*PI()*62.5*$F$3*$E$2),IMPOWER(B5,$F$3))</f>
        <v>0.691341716182544-0.461939766255642i</v>
      </c>
      <c r="G5" t="str">
        <f t="shared" ref="G5:G35" si="5">IMPRODUCT(COS(2*PI()*62.5*$G$3*$E$2),IMPOWER(B5,$G$3))</f>
        <v>0.5-0.499999999999999i</v>
      </c>
      <c r="H5" t="str">
        <f t="shared" ref="H5:H35" si="6">IMPRODUCT(COS(2*PI()*62.5*$H$3*$E$2),IMPOWER(B5,$H$3))</f>
        <v>0.308658283817455-0.461939766255642i</v>
      </c>
      <c r="I5" t="str">
        <f t="shared" ref="I5:I35" si="7">IMPRODUCT(COS(2*PI()*62.5*$I$3*$E$2),IMPOWER(B5,$I$3))</f>
        <v>0.146446609406726-0.353553390593273i</v>
      </c>
      <c r="J5" t="str">
        <f t="shared" ref="J5:J35" si="8">IMPRODUCT(COS(2*PI()*62.5*$J$3*$E$2),IMPOWER(B5,$J$3))</f>
        <v>0.0380602337443568-0.191341716182544i</v>
      </c>
      <c r="K5" t="str">
        <f t="shared" ref="K5:K35" si="9">IMPRODUCT(COS(2*PI()*62.5*$K$3*$E$2),IMPOWER(B5,$K$3))</f>
        <v>8.5363753234821E-32-6.12574227454308E-17i</v>
      </c>
      <c r="L5" t="str">
        <f t="shared" ref="L5:L35" si="10">IMPRODUCT(COS(2*PI()*62.5*$L$3*$E$2),IMPOWER(B5,$L$3))</f>
        <v>0.0380602337443562+0.191341716182544i</v>
      </c>
      <c r="M5" t="str">
        <f t="shared" ref="M5:M35" si="11">IMPRODUCT(COS(2*PI()*62.5*$M$3*$E$2),IMPOWER(B5,$M$3))</f>
        <v>0.146446609406725+0.353553390593272i</v>
      </c>
      <c r="N5" t="str">
        <f t="shared" ref="N5:N35" si="12">IMPRODUCT(COS(2*PI()*62.5*$N$3*$E$2),IMPOWER(B5,$N$3))</f>
        <v>0.308658283817453+0.461939766255641i</v>
      </c>
      <c r="O5" t="str">
        <f t="shared" ref="O5:O35" si="13">IMPRODUCT(COS(2*PI()*62.5*$O$3*$E$2),IMPOWER(B5,$O$3))</f>
        <v>0.499999999999996+0.499999999999998i</v>
      </c>
      <c r="P5" t="str">
        <f t="shared" ref="P5:P35" si="14">IMPRODUCT(COS(2*PI()*62.5*$P$3*$E$2),IMPOWER(B5,$P$3))</f>
        <v>0.691341716182539+0.461939766255642i</v>
      </c>
      <c r="Q5" t="str">
        <f t="shared" ref="Q5:Q35" si="15">IMPRODUCT(COS(2*PI()*62.5*$Q$3*$E$2),IMPOWER(B5,$Q$3))</f>
        <v>0.853553390593268+0.353553390593274i</v>
      </c>
      <c r="R5" t="str">
        <f t="shared" ref="R5:R35" si="16">IMPRODUCT(COS(2*PI()*62.5*$R$3*$E$2),IMPOWER(B5,$R$3))</f>
        <v>0.961939766255636+0.191341716182546i</v>
      </c>
      <c r="S5" t="str">
        <f t="shared" ref="S5:S35" si="17">IMPRODUCT(COS(2*PI()*62.5*$S$3*$E$2),IMPOWER(B5,$S$3))</f>
        <v>0.999999999999993+2.78705010459122E-15i</v>
      </c>
      <c r="T5" t="str">
        <f t="shared" ref="T5:T35" si="18">IMPRODUCT(COS(2*PI()*62.5*$T$3*$E$2),IMPOWER(B5,$T$3))</f>
        <v>0.961939766255637-0.191341716182541i</v>
      </c>
      <c r="U5" t="str">
        <f t="shared" ref="U5:U35" si="19">IMPRODUCT(COS(2*PI()*62.5*$U$3*$E$2),IMPOWER(B5,$U$3))</f>
        <v>0.853553390593269-0.353553390593268i</v>
      </c>
      <c r="V5" t="str">
        <f t="shared" ref="V5:V35" si="20">IMPRODUCT(COS(2*PI()*62.5*$V$3*$E$2),IMPOWER(B5,$V$3))</f>
        <v>0.691341716182541-0.461939766255637i</v>
      </c>
      <c r="W5" t="str">
        <f t="shared" ref="W5:W35" si="21">IMPRODUCT(COS(2*PI()*62.5*$W$3*$E$2),IMPOWER(B5,$W$3))</f>
        <v>0.499999999999998-0.499999999999994i</v>
      </c>
      <c r="X5" t="str">
        <f t="shared" ref="X5:X35" si="22">IMPRODUCT(COS(2*PI()*62.5*$X$3*$E$2),IMPOWER(B5,$X$3))</f>
        <v>0.308658283817454-0.461939766255638i</v>
      </c>
      <c r="Y5" t="str">
        <f t="shared" ref="Y5:Y35" si="23">IMPRODUCT(COS(2*PI()*62.5*$Y$3*$E$2),IMPOWER(B5,$Y$3))</f>
        <v>0.146446609406727-0.35355339059327i</v>
      </c>
      <c r="Z5" t="str">
        <f t="shared" ref="Z5:Z35" si="24">IMPRODUCT(COS(2*PI()*62.5*$Z$3*$E$2),IMPOWER(B5,$Z$3))</f>
        <v>0.038060233744357-0.191341716182543i</v>
      </c>
      <c r="AA5" t="str">
        <f t="shared" ref="AA5:AA35" si="25">IMPRODUCT(COS(2*PI()*62.5*$AA$3*$E$2),IMPOWER(B5,$AA$3))</f>
        <v>6.86662497719977E-31-1.83772268236291E-16i</v>
      </c>
      <c r="AB5" t="str">
        <f t="shared" ref="AB5:AB35" si="26">IMPRODUCT(COS(2*PI()*62.5*$AB$3*$E$2),IMPOWER(B5,$AB$3))</f>
        <v>0.0380602337443552+0.191341716182542i</v>
      </c>
      <c r="AC5" t="str">
        <f t="shared" ref="AC5:AC35" si="27">IMPRODUCT(COS(2*PI()*62.5*$AC$3*$E$2),IMPOWER(B5,$AC$3))</f>
        <v>0.146446609406723+0.35355339059327i</v>
      </c>
      <c r="AD5" t="str">
        <f t="shared" ref="AD5:AD35" si="28">IMPRODUCT(COS(2*PI()*62.5*$AD$3*$E$2),IMPOWER(B5,$AD$3))</f>
        <v>0.308658283817449+0.461939766255639i</v>
      </c>
      <c r="AE5" t="str">
        <f t="shared" ref="AE5:AE35" si="29">IMPRODUCT(COS(2*PI()*62.5*$AE$3*$E$2),IMPOWER(B5,$AE$3))</f>
        <v>0.499999999999991+0.499999999999996i</v>
      </c>
      <c r="AF5" t="str">
        <f t="shared" ref="AF5:AF35" si="30">IMPRODUCT(COS(2*PI()*62.5*$AF$3*$E$2),IMPOWER(B5,$AF$3))</f>
        <v>0.691341716182533+0.461939766255641i</v>
      </c>
      <c r="AG5" t="str">
        <f t="shared" ref="AG5:AG35" si="31">IMPRODUCT(COS(2*PI()*62.5*$AG$3*$E$2),IMPOWER(B5,$AG$3))</f>
        <v>0.853553390593261+0.353553390593273i</v>
      </c>
      <c r="AH5" t="str">
        <f t="shared" ref="AH5:AH35" si="32">IMPRODUCT(COS(2*PI()*62.5*$AH$3*$E$2),IMPOWER(B5,$AH$3))</f>
        <v>0.961939766255629+0.191341716182548i</v>
      </c>
      <c r="AI5" t="str">
        <f t="shared" ref="AI5:AI35" si="33">IMSUM(C5:AH5)</f>
        <v>15.9999999999999+1.97897254139434E-14i</v>
      </c>
      <c r="AJ5" s="4">
        <f t="shared" ref="AJ5:AJ35" si="34">+IMREAL(AI5)</f>
        <v>15.999999999999901</v>
      </c>
      <c r="AK5" s="4">
        <f t="shared" ref="AK5:AK35" si="35">+IMAGINARY(AI5)</f>
        <v>1.97897254139434E-14</v>
      </c>
      <c r="AL5">
        <f t="shared" ref="AL5:AL35" si="36">+SQRT(POWER((AJ5),2)+POWER(AK5,2))</f>
        <v>15.999999999999901</v>
      </c>
    </row>
    <row r="6" spans="1:38" x14ac:dyDescent="0.25">
      <c r="A6" s="2">
        <v>2</v>
      </c>
      <c r="B6" t="str">
        <f t="shared" si="0"/>
        <v>0.923879532511287-0.38268343236509i</v>
      </c>
      <c r="C6" t="str">
        <f t="shared" si="1"/>
        <v>1</v>
      </c>
      <c r="D6" t="str">
        <f t="shared" si="2"/>
        <v>0.906127446352888-0.375330277517865i</v>
      </c>
      <c r="E6" t="str">
        <f t="shared" si="3"/>
        <v>0.653281482438189-0.653281482438189i</v>
      </c>
      <c r="F6" t="str">
        <f t="shared" si="4"/>
        <v>0.318189645143209-0.768177756711417i</v>
      </c>
      <c r="G6" t="str">
        <f t="shared" si="5"/>
        <v>-4.27712198583828E-16-0.707106781186548i</v>
      </c>
      <c r="H6" t="str">
        <f t="shared" si="6"/>
        <v>-0.212607523691815-0.513279967159338i</v>
      </c>
      <c r="I6" t="str">
        <f t="shared" si="7"/>
        <v>-0.2705980500731-0.270598050073099i</v>
      </c>
      <c r="J6" t="str">
        <f t="shared" si="8"/>
        <v>-0.180239955501738-0.0746578340503427i</v>
      </c>
      <c r="K6" t="str">
        <f t="shared" si="9"/>
        <v>-6.1257422745431E-17+7.41063377105845E-32i</v>
      </c>
      <c r="L6" t="str">
        <f t="shared" si="10"/>
        <v>0.180239955501738-0.074657834050343i</v>
      </c>
      <c r="M6" t="str">
        <f t="shared" si="11"/>
        <v>0.270598050073099-0.2705980500731i</v>
      </c>
      <c r="N6" t="str">
        <f t="shared" si="12"/>
        <v>0.212607523691814-0.513279967159339i</v>
      </c>
      <c r="O6" t="str">
        <f t="shared" si="13"/>
        <v>-1.12612734988311E-15-0.707106781186555i</v>
      </c>
      <c r="P6" t="str">
        <f t="shared" si="14"/>
        <v>-0.318189645143212-0.76817775671142i</v>
      </c>
      <c r="Q6" t="str">
        <f t="shared" si="15"/>
        <v>-0.653281482438194-0.653281482438191i</v>
      </c>
      <c r="R6" t="str">
        <f t="shared" si="16"/>
        <v>-0.906127446352895-0.375330277517866i</v>
      </c>
      <c r="S6" t="str">
        <f t="shared" si="17"/>
        <v>-1.00000000000001+2.41950556811867E-15i</v>
      </c>
      <c r="T6" t="str">
        <f t="shared" si="18"/>
        <v>-0.906127446352894+0.37533027751787i</v>
      </c>
      <c r="U6" t="str">
        <f t="shared" si="19"/>
        <v>-0.653281482438192+0.653281482438195i</v>
      </c>
      <c r="V6" t="str">
        <f t="shared" si="20"/>
        <v>-0.318189645143209+0.768177756711424i</v>
      </c>
      <c r="W6" t="str">
        <f t="shared" si="21"/>
        <v>2.29557023878753E-15+0.707106781186555i</v>
      </c>
      <c r="X6" t="str">
        <f t="shared" si="22"/>
        <v>0.212607523691818+0.513279967159341i</v>
      </c>
      <c r="Y6" t="str">
        <f t="shared" si="23"/>
        <v>0.270598050073103+0.2705980500731i</v>
      </c>
      <c r="Z6" t="str">
        <f t="shared" si="24"/>
        <v>0.180239955501739+0.074657834050343i</v>
      </c>
      <c r="AA6" t="str">
        <f t="shared" si="25"/>
        <v>1.83772268236295E-16-5.85345758001855E-31i</v>
      </c>
      <c r="AB6" t="str">
        <f t="shared" si="26"/>
        <v>-0.180239955501738+0.0746578340503437i</v>
      </c>
      <c r="AC6" t="str">
        <f t="shared" si="27"/>
        <v>-0.2705980500731+0.270598050073102i</v>
      </c>
      <c r="AD6" t="str">
        <f t="shared" si="28"/>
        <v>-0.212607523691814+0.513279967159344i</v>
      </c>
      <c r="AE6" t="str">
        <f t="shared" si="29"/>
        <v>3.46501312769197E-15+0.707106781186554i</v>
      </c>
      <c r="AF6" t="str">
        <f t="shared" si="30"/>
        <v>0.318189645143215+0.768177756711424i</v>
      </c>
      <c r="AG6" t="str">
        <f t="shared" si="31"/>
        <v>0.6532814824382+0.653281482438194i</v>
      </c>
      <c r="AH6" t="str">
        <f t="shared" si="32"/>
        <v>0.906127446352902+0.375330277517866i</v>
      </c>
      <c r="AI6" t="str">
        <f t="shared" si="33"/>
        <v>7.7715611723761E-15+4.4353409833775E-14i</v>
      </c>
      <c r="AJ6" s="4">
        <f t="shared" si="34"/>
        <v>7.7715611723761005E-15</v>
      </c>
      <c r="AK6" s="4">
        <f t="shared" si="35"/>
        <v>4.4353409833774997E-14</v>
      </c>
      <c r="AL6">
        <f t="shared" si="36"/>
        <v>4.5029125318384682E-14</v>
      </c>
    </row>
    <row r="7" spans="1:38" x14ac:dyDescent="0.25">
      <c r="A7" s="2">
        <v>3</v>
      </c>
      <c r="B7" t="str">
        <f t="shared" si="0"/>
        <v>0.831469612302545-0.555570233019602i</v>
      </c>
      <c r="C7" t="str">
        <f t="shared" si="1"/>
        <v>1</v>
      </c>
      <c r="D7" t="str">
        <f t="shared" si="2"/>
        <v>0.815493156848917-0.544895106775818i</v>
      </c>
      <c r="E7" t="str">
        <f t="shared" si="3"/>
        <v>0.353553390593274-0.853553390593273i</v>
      </c>
      <c r="F7" t="str">
        <f t="shared" si="4"/>
        <v>-0.162211674410729-0.815493156848917i</v>
      </c>
      <c r="G7" t="str">
        <f t="shared" si="5"/>
        <v>-0.499999999999999-0.5i</v>
      </c>
      <c r="H7" t="str">
        <f t="shared" si="6"/>
        <v>-0.544895106775818-0.10838637566237i</v>
      </c>
      <c r="I7" t="str">
        <f t="shared" si="7"/>
        <v>-0.353553390593273+0.146446609406726i</v>
      </c>
      <c r="J7" t="str">
        <f t="shared" si="8"/>
        <v>-0.10838637566237+0.162211674410729i</v>
      </c>
      <c r="K7" t="str">
        <f t="shared" si="9"/>
        <v>-6.56649364531769E-32+6.12574227454308E-17i</v>
      </c>
      <c r="L7" t="str">
        <f t="shared" si="10"/>
        <v>-0.108386375662369-0.162211674410729i</v>
      </c>
      <c r="M7" t="str">
        <f t="shared" si="11"/>
        <v>-0.353553390593272-0.146446609406726i</v>
      </c>
      <c r="N7" t="str">
        <f t="shared" si="12"/>
        <v>-0.544895106775816+0.108386375662368i</v>
      </c>
      <c r="O7" t="str">
        <f t="shared" si="13"/>
        <v>-0.499999999999999+0.499999999999998i</v>
      </c>
      <c r="P7" t="str">
        <f t="shared" si="14"/>
        <v>-0.162211674410729+0.815493156848913i</v>
      </c>
      <c r="Q7" t="str">
        <f t="shared" si="15"/>
        <v>0.35355339059327+0.85355339059327i</v>
      </c>
      <c r="R7" t="str">
        <f t="shared" si="16"/>
        <v>0.815493156848912+0.544895106775817i</v>
      </c>
      <c r="S7" t="str">
        <f t="shared" si="17"/>
        <v>0.999999999999995+2.14390137587283E-15i</v>
      </c>
      <c r="T7" t="str">
        <f t="shared" si="18"/>
        <v>0.815493156848914-0.544895106775813i</v>
      </c>
      <c r="U7" t="str">
        <f t="shared" si="19"/>
        <v>0.353553390593274-0.853553390593268i</v>
      </c>
      <c r="V7" t="str">
        <f t="shared" si="20"/>
        <v>-0.162211674410725-0.815493156848913i</v>
      </c>
      <c r="W7" t="str">
        <f t="shared" si="21"/>
        <v>-0.499999999999996-0.499999999999999i</v>
      </c>
      <c r="X7" t="str">
        <f t="shared" si="22"/>
        <v>-0.544895106775814-0.108386375662371i</v>
      </c>
      <c r="Y7" t="str">
        <f t="shared" si="23"/>
        <v>-0.353553390593272+0.146446609406724i</v>
      </c>
      <c r="Z7" t="str">
        <f t="shared" si="24"/>
        <v>-0.10838637566237+0.162211674410728i</v>
      </c>
      <c r="AA7" t="str">
        <f t="shared" si="25"/>
        <v>-4.27761865291769E-31+1.83772268236292E-16i</v>
      </c>
      <c r="AB7" t="str">
        <f t="shared" si="26"/>
        <v>-0.108386375662368-0.162211674410727i</v>
      </c>
      <c r="AC7" t="str">
        <f t="shared" si="27"/>
        <v>-0.35355339059327-0.146446609406726i</v>
      </c>
      <c r="AD7" t="str">
        <f t="shared" si="28"/>
        <v>-0.544895106775814+0.108386375662367i</v>
      </c>
      <c r="AE7" t="str">
        <f t="shared" si="29"/>
        <v>-0.499999999999997+0.499999999999994i</v>
      </c>
      <c r="AF7" t="str">
        <f t="shared" si="30"/>
        <v>-0.162211674410732+0.815493156848908i</v>
      </c>
      <c r="AG7" t="str">
        <f t="shared" si="31"/>
        <v>0.353553390593267+0.853553390593266i</v>
      </c>
      <c r="AH7" t="str">
        <f t="shared" si="32"/>
        <v>0.815493156848905+0.544895106775817i</v>
      </c>
      <c r="AI7" t="str">
        <f t="shared" si="33"/>
        <v>-4.44089209850063E-15-2.30926389122033E-14i</v>
      </c>
      <c r="AJ7" s="4">
        <f t="shared" si="34"/>
        <v>-4.4408920985006301E-15</v>
      </c>
      <c r="AK7" s="4">
        <f t="shared" si="35"/>
        <v>-2.30926389122033E-14</v>
      </c>
      <c r="AL7">
        <f t="shared" si="36"/>
        <v>2.351577118786308E-14</v>
      </c>
    </row>
    <row r="8" spans="1:38" x14ac:dyDescent="0.25">
      <c r="A8" s="2">
        <v>4</v>
      </c>
      <c r="B8" t="str">
        <f t="shared" si="0"/>
        <v>0.707106781186548-0.707106781186547i</v>
      </c>
      <c r="C8" t="str">
        <f t="shared" si="1"/>
        <v>1</v>
      </c>
      <c r="D8" t="str">
        <f t="shared" si="2"/>
        <v>0.693519922661074-0.693519922661073i</v>
      </c>
      <c r="E8" t="str">
        <f t="shared" si="3"/>
        <v>1.28744927385764E-15-0.923879532511287i</v>
      </c>
      <c r="F8" t="str">
        <f t="shared" si="4"/>
        <v>-0.587937801209678-0.587937801209681i</v>
      </c>
      <c r="G8" t="str">
        <f t="shared" si="5"/>
        <v>-0.707106781186548-1.97074202846314E-15i</v>
      </c>
      <c r="H8" t="str">
        <f t="shared" si="6"/>
        <v>-0.392847479193553+0.39284747919355i</v>
      </c>
      <c r="I8" t="str">
        <f t="shared" si="7"/>
        <v>-1.42989126719596E-15+0.38268343236509i</v>
      </c>
      <c r="J8" t="str">
        <f t="shared" si="8"/>
        <v>0.137949689641471+0.137949689641472i</v>
      </c>
      <c r="K8" t="str">
        <f t="shared" si="9"/>
        <v>6.1257422745431E-17+3.41455012939287E-31i</v>
      </c>
      <c r="L8" t="str">
        <f t="shared" si="10"/>
        <v>-0.137949689641472+0.137949689641471i</v>
      </c>
      <c r="M8" t="str">
        <f t="shared" si="11"/>
        <v>-2.83634033359787E-15+0.38268343236509i</v>
      </c>
      <c r="N8" t="str">
        <f t="shared" si="12"/>
        <v>0.392847479193548+0.392847479193554i</v>
      </c>
      <c r="O8" t="str">
        <f t="shared" si="13"/>
        <v>0.707106781186547+5.28418910191591E-15i</v>
      </c>
      <c r="P8" t="str">
        <f t="shared" si="14"/>
        <v>0.587937801209684-0.587937801209675i</v>
      </c>
      <c r="Q8" t="str">
        <f t="shared" si="15"/>
        <v>8.60185998541392E-15-0.923879532511287i</v>
      </c>
      <c r="R8" t="str">
        <f t="shared" si="16"/>
        <v>-0.693519922661066-0.693519922661081i</v>
      </c>
      <c r="S8" t="str">
        <f t="shared" si="17"/>
        <v>-1-1.1148200418365E-14i</v>
      </c>
      <c r="T8" t="str">
        <f t="shared" si="18"/>
        <v>-0.693519922661082+0.693519922661065i</v>
      </c>
      <c r="U8" t="str">
        <f t="shared" si="19"/>
        <v>-1.19973283963083E-14+0.923879532511287i</v>
      </c>
      <c r="V8" t="str">
        <f t="shared" si="20"/>
        <v>0.587937801209672+0.587937801209687i</v>
      </c>
      <c r="W8" t="str">
        <f t="shared" si="21"/>
        <v>0.707106781186548+1.04817471257892E-14i</v>
      </c>
      <c r="X8" t="str">
        <f t="shared" si="22"/>
        <v>0.392847479193556-0.392847479193546i</v>
      </c>
      <c r="Y8" t="str">
        <f t="shared" si="23"/>
        <v>6.37590520039669E-15-0.38268343236509i</v>
      </c>
      <c r="Z8" t="str">
        <f t="shared" si="24"/>
        <v>-0.13794968964147-0.137949689641474i</v>
      </c>
      <c r="AA8" t="str">
        <f t="shared" si="25"/>
        <v>-1.83772268236293E-16-2.74664999087994E-30i</v>
      </c>
      <c r="AB8" t="str">
        <f t="shared" si="26"/>
        <v>0.137949689641473-0.137949689641468i</v>
      </c>
      <c r="AC8" t="str">
        <f t="shared" si="27"/>
        <v>6.42278960198481E-15-0.382683432365089i</v>
      </c>
      <c r="AD8" t="str">
        <f t="shared" si="28"/>
        <v>-0.392847479193543-0.392847479193558i</v>
      </c>
      <c r="AE8" t="str">
        <f t="shared" si="29"/>
        <v>-0.707106781186547-1.31671572157684E-14i</v>
      </c>
      <c r="AF8" t="str">
        <f t="shared" si="30"/>
        <v>-0.587937801209692+0.587937801209666i</v>
      </c>
      <c r="AG8" t="str">
        <f t="shared" si="31"/>
        <v>-1.8901454176275E-14+0.923879532511287i</v>
      </c>
      <c r="AH8" t="str">
        <f t="shared" si="32"/>
        <v>0.693519922661057+0.69351992266109i</v>
      </c>
      <c r="AI8" t="str">
        <f t="shared" si="33"/>
        <v>-3.31956684362922E-14-1.06581410364015E-14i</v>
      </c>
      <c r="AJ8" s="4">
        <f t="shared" si="34"/>
        <v>-3.3195668436292199E-14</v>
      </c>
      <c r="AK8" s="4">
        <f t="shared" si="35"/>
        <v>-1.06581410364015E-14</v>
      </c>
      <c r="AL8">
        <f t="shared" si="36"/>
        <v>3.4864715304790199E-14</v>
      </c>
    </row>
    <row r="9" spans="1:38" x14ac:dyDescent="0.25">
      <c r="A9" s="2">
        <v>5</v>
      </c>
      <c r="B9" t="str">
        <f t="shared" si="0"/>
        <v>0.555570233019603-0.831469612302545i</v>
      </c>
      <c r="C9" t="str">
        <f t="shared" si="1"/>
        <v>1</v>
      </c>
      <c r="D9" t="str">
        <f t="shared" si="2"/>
        <v>0.544895106775819-0.815493156848917i</v>
      </c>
      <c r="E9" t="str">
        <f t="shared" si="3"/>
        <v>-0.353553390593273-0.853553390593275i</v>
      </c>
      <c r="F9" t="str">
        <f t="shared" si="4"/>
        <v>-0.815493156848918-0.16221167441073i</v>
      </c>
      <c r="G9" t="str">
        <f t="shared" si="5"/>
        <v>-0.500000000000002+0.499999999999999i</v>
      </c>
      <c r="H9" t="str">
        <f t="shared" si="6"/>
        <v>0.108386375662368+0.54489510677582i</v>
      </c>
      <c r="I9" t="str">
        <f t="shared" si="7"/>
        <v>0.353553390593274+0.146446609406728i</v>
      </c>
      <c r="J9" t="str">
        <f t="shared" si="8"/>
        <v>0.16221167441073-0.108386375662369i</v>
      </c>
      <c r="K9" t="str">
        <f t="shared" si="9"/>
        <v>3.452074847807E-31-6.1257422745431E-17i</v>
      </c>
      <c r="L9" t="str">
        <f t="shared" si="10"/>
        <v>0.162211674410729+0.108386375662371i</v>
      </c>
      <c r="M9" t="str">
        <f t="shared" si="11"/>
        <v>0.353553390593275-0.146446609406724i</v>
      </c>
      <c r="N9" t="str">
        <f t="shared" si="12"/>
        <v>0.108386375662374-0.544895106775819i</v>
      </c>
      <c r="O9" t="str">
        <f t="shared" si="13"/>
        <v>-0.499999999999997-0.500000000000005i</v>
      </c>
      <c r="P9" t="str">
        <f t="shared" si="14"/>
        <v>-0.815493156848921+0.162211674410723i</v>
      </c>
      <c r="Q9" t="str">
        <f t="shared" si="15"/>
        <v>-0.353553390593283+0.853553390593273i</v>
      </c>
      <c r="R9" t="str">
        <f t="shared" si="16"/>
        <v>0.544895106775812+0.815493156848926i</v>
      </c>
      <c r="S9" t="str">
        <f t="shared" si="17"/>
        <v>1+1.12707152638559E-14i</v>
      </c>
      <c r="T9" t="str">
        <f t="shared" si="18"/>
        <v>0.54489510677583-0.815493156848914i</v>
      </c>
      <c r="U9" t="str">
        <f t="shared" si="19"/>
        <v>-0.353553390593266-0.853553390593281i</v>
      </c>
      <c r="V9" t="str">
        <f t="shared" si="20"/>
        <v>-0.815493156848919-0.162211674410741i</v>
      </c>
      <c r="W9" t="str">
        <f t="shared" si="21"/>
        <v>-0.50000000000001+0.499999999999996i</v>
      </c>
      <c r="X9" t="str">
        <f t="shared" si="22"/>
        <v>0.108386375662363+0.544895106775823i</v>
      </c>
      <c r="Y9" t="str">
        <f t="shared" si="23"/>
        <v>0.353553390593274+0.146446609406733i</v>
      </c>
      <c r="Z9" t="str">
        <f t="shared" si="24"/>
        <v>0.162211674410732-0.108386375662368i</v>
      </c>
      <c r="AA9" t="str">
        <f t="shared" si="25"/>
        <v>3.1068673630263E-30-1.83772268236295E-16i</v>
      </c>
      <c r="AB9" t="str">
        <f t="shared" si="26"/>
        <v>0.162211674410727+0.108386375662372i</v>
      </c>
      <c r="AC9" t="str">
        <f t="shared" si="27"/>
        <v>0.353553390593278-0.146446609406721i</v>
      </c>
      <c r="AD9" t="str">
        <f t="shared" si="28"/>
        <v>0.108386375662381-0.544895106775819i</v>
      </c>
      <c r="AE9" t="str">
        <f t="shared" si="29"/>
        <v>-0.499999999999993-0.500000000000013i</v>
      </c>
      <c r="AF9" t="str">
        <f t="shared" si="30"/>
        <v>-0.815493156848925+0.162211674410714i</v>
      </c>
      <c r="AG9" t="str">
        <f t="shared" si="31"/>
        <v>-0.353553390593295+0.853553390593271i</v>
      </c>
      <c r="AH9" t="str">
        <f t="shared" si="32"/>
        <v>0.544895106775804+0.815493156848935i</v>
      </c>
      <c r="AI9" t="str">
        <f t="shared" si="33"/>
        <v>-3.1641356201817E-14-9.99200722162641E-16i</v>
      </c>
      <c r="AJ9" s="4">
        <f t="shared" si="34"/>
        <v>-3.1641356201816999E-14</v>
      </c>
      <c r="AK9" s="4">
        <f t="shared" si="35"/>
        <v>-9.9920072216264108E-16</v>
      </c>
      <c r="AL9">
        <f t="shared" si="36"/>
        <v>3.1657129123997228E-14</v>
      </c>
    </row>
    <row r="10" spans="1:38" x14ac:dyDescent="0.25">
      <c r="A10" s="2">
        <v>6</v>
      </c>
      <c r="B10" t="str">
        <f t="shared" si="0"/>
        <v>0.382683432365092-0.923879532511286i</v>
      </c>
      <c r="C10" t="str">
        <f t="shared" si="1"/>
        <v>1</v>
      </c>
      <c r="D10" t="str">
        <f t="shared" si="2"/>
        <v>0.375330277517867-0.906127446352887i</v>
      </c>
      <c r="E10" t="str">
        <f t="shared" si="3"/>
        <v>-0.653281482438185-0.653281482438192i</v>
      </c>
      <c r="F10" t="str">
        <f t="shared" si="4"/>
        <v>-0.768177756711418+0.318189645143204i</v>
      </c>
      <c r="G10" t="str">
        <f t="shared" si="5"/>
        <v>-6.41031645179902E-15+0.707106781186548i</v>
      </c>
      <c r="H10" t="str">
        <f t="shared" si="6"/>
        <v>0.513279967159334+0.21260752369182i</v>
      </c>
      <c r="I10" t="str">
        <f t="shared" si="7"/>
        <v>0.270598050073102-0.270598050073095i</v>
      </c>
      <c r="J10" t="str">
        <f t="shared" si="8"/>
        <v>-0.0746578340503398-0.180239955501738i</v>
      </c>
      <c r="K10" t="str">
        <f t="shared" si="9"/>
        <v>-6.1257422745431E-17-1.11066524962726E-30i</v>
      </c>
      <c r="L10" t="str">
        <f t="shared" si="10"/>
        <v>0.0746578340503463-0.180239955501735i</v>
      </c>
      <c r="M10" t="str">
        <f t="shared" si="11"/>
        <v>-0.270598050073092-0.270598050073105i</v>
      </c>
      <c r="N10" t="str">
        <f t="shared" si="12"/>
        <v>-0.513279967159342+0.212607523691801i</v>
      </c>
      <c r="O10" t="str">
        <f t="shared" si="13"/>
        <v>-1.9230949355397E-14+0.707106781186547i</v>
      </c>
      <c r="P10" t="str">
        <f t="shared" si="14"/>
        <v>0.768177756711407+0.318189645143231i</v>
      </c>
      <c r="Q10" t="str">
        <f t="shared" si="15"/>
        <v>0.653281482438209-0.653281482438168i</v>
      </c>
      <c r="R10" t="str">
        <f t="shared" si="16"/>
        <v>-0.375330277517836-0.9061274463529i</v>
      </c>
      <c r="S10" t="str">
        <f t="shared" si="17"/>
        <v>-1-3.62622258609502E-14i</v>
      </c>
      <c r="T10" t="str">
        <f t="shared" si="18"/>
        <v>-0.375330277517902+0.906127446352872i</v>
      </c>
      <c r="U10" t="str">
        <f t="shared" si="19"/>
        <v>0.653281482438162+0.653281482438215i</v>
      </c>
      <c r="V10" t="str">
        <f t="shared" si="20"/>
        <v>0.76817775671143-0.318189645143177i</v>
      </c>
      <c r="W10" t="str">
        <f t="shared" si="21"/>
        <v>3.20515822589951E-14-0.707106781186548i</v>
      </c>
      <c r="X10" t="str">
        <f t="shared" si="22"/>
        <v>-0.513279967159326-0.212607523691839i</v>
      </c>
      <c r="Y10" t="str">
        <f t="shared" si="23"/>
        <v>-0.270598050073112+0.270598050073085i</v>
      </c>
      <c r="Z10" t="str">
        <f t="shared" si="24"/>
        <v>0.0746578340503336+0.180239955501741i</v>
      </c>
      <c r="AA10" t="str">
        <f t="shared" si="25"/>
        <v>1.83772268236293E-16+9.99598724664537E-30i</v>
      </c>
      <c r="AB10" t="str">
        <f t="shared" si="26"/>
        <v>-0.0746578340503529+0.180239955501732i</v>
      </c>
      <c r="AC10" t="str">
        <f t="shared" si="27"/>
        <v>0.270598050073082+0.270598050073114i</v>
      </c>
      <c r="AD10" t="str">
        <f t="shared" si="28"/>
        <v>0.513279967159349-0.212607523691784i</v>
      </c>
      <c r="AE10" t="str">
        <f t="shared" si="29"/>
        <v>4.48722151625931E-14-0.707106781186547i</v>
      </c>
      <c r="AF10" t="str">
        <f t="shared" si="30"/>
        <v>-0.768177756711395-0.31818964514326i</v>
      </c>
      <c r="AG10" t="str">
        <f t="shared" si="31"/>
        <v>-0.65328148243823+0.653281482438146i</v>
      </c>
      <c r="AH10" t="str">
        <f t="shared" si="32"/>
        <v>0.375330277517803+0.906127446352914i</v>
      </c>
      <c r="AI10" t="str">
        <f t="shared" si="33"/>
        <v>-5.45119505090952E-14-4.13002965160558E-14i</v>
      </c>
      <c r="AJ10" s="4">
        <f t="shared" si="34"/>
        <v>-5.4511950509095199E-14</v>
      </c>
      <c r="AK10" s="4">
        <f t="shared" si="35"/>
        <v>-4.1300296516055798E-14</v>
      </c>
      <c r="AL10">
        <f t="shared" si="36"/>
        <v>6.8390549351647807E-14</v>
      </c>
    </row>
    <row r="11" spans="1:38" x14ac:dyDescent="0.25">
      <c r="A11" s="2">
        <v>7</v>
      </c>
      <c r="B11" t="str">
        <f t="shared" si="0"/>
        <v>0.195090322016133-0.98078528040323i</v>
      </c>
      <c r="C11" t="str">
        <f t="shared" si="1"/>
        <v>1</v>
      </c>
      <c r="D11" t="str">
        <f t="shared" si="2"/>
        <v>0.19134171618255-0.961939766255643i</v>
      </c>
      <c r="E11" t="str">
        <f t="shared" si="3"/>
        <v>-0.853553390593271-0.353553390593282i</v>
      </c>
      <c r="F11" t="str">
        <f t="shared" si="4"/>
        <v>-0.461939766255654+0.691341716182539i</v>
      </c>
      <c r="G11" t="str">
        <f t="shared" si="5"/>
        <v>0.499999999999991+0.50000000000001i</v>
      </c>
      <c r="H11" t="str">
        <f t="shared" si="6"/>
        <v>0.461939766255652-0.308658283817445i</v>
      </c>
      <c r="I11" t="str">
        <f t="shared" si="7"/>
        <v>-0.146446609406717-0.353553390593279i</v>
      </c>
      <c r="J11" t="str">
        <f t="shared" si="8"/>
        <v>-0.191341716182547+0.0380602337443503i</v>
      </c>
      <c r="K11" t="str">
        <f t="shared" si="9"/>
        <v>-2.31138318190535E-30+6.1257422745431E-17i</v>
      </c>
      <c r="L11" t="str">
        <f t="shared" si="10"/>
        <v>-0.191341716182544-0.0380602337443649i</v>
      </c>
      <c r="M11" t="str">
        <f t="shared" si="11"/>
        <v>-0.146446609406743+0.353553390593268i</v>
      </c>
      <c r="N11" t="str">
        <f t="shared" si="12"/>
        <v>0.461939766255629+0.30865828381748i</v>
      </c>
      <c r="O11" t="str">
        <f t="shared" si="13"/>
        <v>0.500000000000031-0.499999999999974i</v>
      </c>
      <c r="P11" t="str">
        <f t="shared" si="14"/>
        <v>-0.461939766255603-0.691341716182577i</v>
      </c>
      <c r="Q11" t="str">
        <f t="shared" si="15"/>
        <v>-0.853553390593303+0.353553390593219i</v>
      </c>
      <c r="R11" t="str">
        <f t="shared" si="16"/>
        <v>0.191341716182478+0.961939766255663i</v>
      </c>
      <c r="S11" t="str">
        <f t="shared" si="17"/>
        <v>1.00000000000001+7.54645911732471E-14i</v>
      </c>
      <c r="T11" t="str">
        <f t="shared" si="18"/>
        <v>0.191341716182623-0.961939766255635i</v>
      </c>
      <c r="U11" t="str">
        <f t="shared" si="19"/>
        <v>-0.853553390593251-0.353553390593349i</v>
      </c>
      <c r="V11" t="str">
        <f t="shared" si="20"/>
        <v>-0.461939766255709+0.691341716182509i</v>
      </c>
      <c r="W11" t="str">
        <f t="shared" si="21"/>
        <v>0.499999999999957+0.500000000000052i</v>
      </c>
      <c r="X11" t="str">
        <f t="shared" si="22"/>
        <v>0.461939766255678-0.308658283817412i</v>
      </c>
      <c r="Y11" t="str">
        <f t="shared" si="23"/>
        <v>-0.146446609406691-0.353553390593293i</v>
      </c>
      <c r="Z11" t="str">
        <f t="shared" si="24"/>
        <v>-0.191341716182551+0.0380602337443364i</v>
      </c>
      <c r="AA11" t="str">
        <f t="shared" si="25"/>
        <v>-2.08024486371483E-29+1.83772268236295E-16i</v>
      </c>
      <c r="AB11" t="str">
        <f t="shared" si="26"/>
        <v>-0.191341716182542-0.0380602337443794i</v>
      </c>
      <c r="AC11" t="str">
        <f t="shared" si="27"/>
        <v>-0.146446609406771+0.353553390593259i</v>
      </c>
      <c r="AD11" t="str">
        <f t="shared" si="28"/>
        <v>0.46193976625561+0.308658283817518i</v>
      </c>
      <c r="AE11" t="str">
        <f t="shared" si="29"/>
        <v>0.500000000000072-0.49999999999994i</v>
      </c>
      <c r="AF11" t="str">
        <f t="shared" si="30"/>
        <v>-0.461939766255555-0.691341716182617i</v>
      </c>
      <c r="AG11" t="str">
        <f t="shared" si="31"/>
        <v>-0.853553390593335+0.353553390593157i</v>
      </c>
      <c r="AH11" t="str">
        <f t="shared" si="32"/>
        <v>0.191341716182407+0.961939766255685i</v>
      </c>
      <c r="AI11" t="str">
        <f t="shared" si="33"/>
        <v>-9.92816939771046E-14-6.90558721316847E-14i</v>
      </c>
      <c r="AJ11" s="4">
        <f t="shared" si="34"/>
        <v>-9.9281693977104598E-14</v>
      </c>
      <c r="AK11" s="4">
        <f t="shared" si="35"/>
        <v>-6.9055872131684699E-14</v>
      </c>
      <c r="AL11">
        <f t="shared" si="36"/>
        <v>1.2093621556354009E-13</v>
      </c>
    </row>
    <row r="12" spans="1:38" x14ac:dyDescent="0.25">
      <c r="A12" s="2">
        <v>8</v>
      </c>
      <c r="B12" t="str">
        <f t="shared" si="0"/>
        <v>-3.49145625605507E-15-i</v>
      </c>
      <c r="C12" t="str">
        <f t="shared" si="1"/>
        <v>1</v>
      </c>
      <c r="D12" t="str">
        <f t="shared" si="2"/>
        <v>-3.20659082300716E-15-0.98078528040323i</v>
      </c>
      <c r="E12" t="str">
        <f t="shared" si="3"/>
        <v>-0.923879532511287+6.04108501566595E-15i</v>
      </c>
      <c r="F12" t="str">
        <f t="shared" si="4"/>
        <v>7.97062597249666E-15+0.831469612302545i</v>
      </c>
      <c r="G12" t="str">
        <f t="shared" si="5"/>
        <v>0.707106781186548-9.24729259601746E-15i</v>
      </c>
      <c r="H12" t="str">
        <f t="shared" si="6"/>
        <v>-9.20530033717552E-15-0.555570233019602i</v>
      </c>
      <c r="I12" t="str">
        <f t="shared" si="7"/>
        <v>-0.38268343236509+7.33695245171144E-15i</v>
      </c>
      <c r="J12" t="str">
        <f t="shared" si="8"/>
        <v>4.42149524927891E-15+0.195090322016128i</v>
      </c>
      <c r="K12" t="str">
        <f t="shared" si="9"/>
        <v>6.1257422745431E-17-1.60220585313688E-30i</v>
      </c>
      <c r="L12" t="str">
        <f t="shared" si="10"/>
        <v>5.78379389987694E-15+0.195090322016128i</v>
      </c>
      <c r="M12" t="str">
        <f t="shared" si="11"/>
        <v>0.38268343236509-1.26814423077903E-14i</v>
      </c>
      <c r="N12" t="str">
        <f t="shared" si="12"/>
        <v>-2.03503498401053E-14-0.555570233019602i</v>
      </c>
      <c r="O12" t="str">
        <f t="shared" si="13"/>
        <v>-0.707106781186547+2.71138408045787E-14i</v>
      </c>
      <c r="P12" t="str">
        <f t="shared" si="14"/>
        <v>3.62625304021472E-14+0.831469612302545i</v>
      </c>
      <c r="Q12" t="str">
        <f t="shared" si="15"/>
        <v>0.923879532511287-4.18773101780721E-14i</v>
      </c>
      <c r="R12" t="str">
        <f t="shared" si="16"/>
        <v>-4.96233089058314E-14-0.98078528040323i</v>
      </c>
      <c r="S12" t="str">
        <f t="shared" si="17"/>
        <v>-1+5.23105864180806E-14i</v>
      </c>
      <c r="T12" t="str">
        <f t="shared" si="18"/>
        <v>5.29875974303978E-14+0.98078528040323i</v>
      </c>
      <c r="U12" t="str">
        <f t="shared" si="19"/>
        <v>0.923879532511287-5.47800500725832E-14i</v>
      </c>
      <c r="V12" t="str">
        <f t="shared" si="20"/>
        <v>-5.07267956145734E-14-0.831469612302545i</v>
      </c>
      <c r="W12" t="str">
        <f t="shared" si="21"/>
        <v>-0.707106781186548+4.68644999635607E-14i</v>
      </c>
      <c r="X12" t="str">
        <f t="shared" si="22"/>
        <v>3.9747841497648E-14+0.555570233019602i</v>
      </c>
      <c r="Y12" t="str">
        <f t="shared" si="23"/>
        <v>0.38268343236509-2.80351295436201E-14i</v>
      </c>
      <c r="Z12" t="str">
        <f t="shared" si="24"/>
        <v>-1.46267843984348E-14-0.195090322016129i</v>
      </c>
      <c r="AA12" t="str">
        <f t="shared" si="25"/>
        <v>-1.83772268236293E-16+1.40934075526583E-29i</v>
      </c>
      <c r="AB12" t="str">
        <f t="shared" si="26"/>
        <v>-1.52959829934044E-14-0.195090322016127i</v>
      </c>
      <c r="AC12" t="str">
        <f t="shared" si="27"/>
        <v>-0.382683432365089+3.33796193996989E-14i</v>
      </c>
      <c r="AD12" t="str">
        <f t="shared" si="28"/>
        <v>4.94125545257904E-14+0.555570233019602i</v>
      </c>
      <c r="AE12" t="str">
        <f t="shared" si="29"/>
        <v>0.707106781186547-6.41030111886485E-14i</v>
      </c>
      <c r="AF12" t="str">
        <f t="shared" si="30"/>
        <v>-7.68032199453732E-14-0.831469612302545i</v>
      </c>
      <c r="AG12" t="str">
        <f t="shared" si="31"/>
        <v>-0.923879532511287+9.34882697561167E-14i</v>
      </c>
      <c r="AH12" t="str">
        <f t="shared" si="32"/>
        <v>1.00928762073946E-13+0.98078528040323i</v>
      </c>
      <c r="AI12" t="str">
        <f t="shared" si="33"/>
        <v>5.8518242533265E-14+5.59552404411079E-14i</v>
      </c>
      <c r="AJ12" s="4">
        <f t="shared" si="34"/>
        <v>5.8518242533264999E-14</v>
      </c>
      <c r="AK12" s="4">
        <f t="shared" si="35"/>
        <v>5.5955240441107902E-14</v>
      </c>
      <c r="AL12">
        <f t="shared" si="36"/>
        <v>8.0965261946122431E-14</v>
      </c>
    </row>
    <row r="13" spans="1:38" x14ac:dyDescent="0.25">
      <c r="A13" s="2">
        <v>9</v>
      </c>
      <c r="B13" t="str">
        <f t="shared" si="0"/>
        <v>-0.195090322016129-0.98078528040323i</v>
      </c>
      <c r="C13" t="str">
        <f t="shared" si="1"/>
        <v>1</v>
      </c>
      <c r="D13" t="str">
        <f t="shared" si="2"/>
        <v>-0.191341716182546-0.961939766255643i</v>
      </c>
      <c r="E13" t="str">
        <f t="shared" si="3"/>
        <v>-0.853553390593273+0.353553390593275i</v>
      </c>
      <c r="F13" t="str">
        <f t="shared" si="4"/>
        <v>0.461939766255644+0.691341716182544i</v>
      </c>
      <c r="G13" t="str">
        <f t="shared" si="5"/>
        <v>0.499999999999998-0.5i</v>
      </c>
      <c r="H13" t="str">
        <f t="shared" si="6"/>
        <v>-0.461939766255644-0.308658283817453i</v>
      </c>
      <c r="I13" t="str">
        <f t="shared" si="7"/>
        <v>-0.146446609406725+0.353553390593274i</v>
      </c>
      <c r="J13" t="str">
        <f t="shared" si="8"/>
        <v>0.191341716182545+0.0380602337443558i</v>
      </c>
      <c r="K13" t="str">
        <f t="shared" si="9"/>
        <v>-2.92672879000924E-31-6.12574227454308E-17i</v>
      </c>
      <c r="L13" t="str">
        <f t="shared" si="10"/>
        <v>0.191341716182544-0.0380602337443575i</v>
      </c>
      <c r="M13" t="str">
        <f t="shared" si="11"/>
        <v>-0.146446609406728-0.353553390593271i</v>
      </c>
      <c r="N13" t="str">
        <f t="shared" si="12"/>
        <v>-0.461939766255639+0.308658283817458i</v>
      </c>
      <c r="O13" t="str">
        <f t="shared" si="13"/>
        <v>0.500000000000001+0.499999999999995i</v>
      </c>
      <c r="P13" t="str">
        <f t="shared" si="14"/>
        <v>0.461939766255636-0.691341716182544i</v>
      </c>
      <c r="Q13" t="str">
        <f t="shared" si="15"/>
        <v>-0.853553390593272-0.353553390593266i</v>
      </c>
      <c r="R13" t="str">
        <f t="shared" si="16"/>
        <v>-0.191341716182536+0.96193976625564i</v>
      </c>
      <c r="S13" t="str">
        <f t="shared" si="17"/>
        <v>0.999999999999995-9.55550742698369E-15i</v>
      </c>
      <c r="T13" t="str">
        <f t="shared" si="18"/>
        <v>-0.191341716182554-0.961939766255636i</v>
      </c>
      <c r="U13" t="str">
        <f t="shared" si="19"/>
        <v>-0.853553390593265+0.353553390593281i</v>
      </c>
      <c r="V13" t="str">
        <f t="shared" si="20"/>
        <v>0.461939766255649+0.691341716182535i</v>
      </c>
      <c r="W13" t="str">
        <f t="shared" si="21"/>
        <v>0.49999999999999-0.500000000000004i</v>
      </c>
      <c r="X13" t="str">
        <f t="shared" si="22"/>
        <v>-0.461939766255645-0.308658283817446i</v>
      </c>
      <c r="Y13" t="str">
        <f t="shared" si="23"/>
        <v>-0.14644660940672+0.353553390593274i</v>
      </c>
      <c r="Z13" t="str">
        <f t="shared" si="24"/>
        <v>0.191341716182544+0.0380602337443531i</v>
      </c>
      <c r="AA13" t="str">
        <f t="shared" si="25"/>
        <v>-1.98116565986103E-30-1.83772268236292E-16i</v>
      </c>
      <c r="AB13" t="str">
        <f t="shared" si="26"/>
        <v>0.191341716182542-0.0380602337443584i</v>
      </c>
      <c r="AC13" t="str">
        <f t="shared" si="27"/>
        <v>-0.146446609406729-0.353553390593268i</v>
      </c>
      <c r="AD13" t="str">
        <f t="shared" si="28"/>
        <v>-0.461939766255635+0.308658283817459i</v>
      </c>
      <c r="AE13" t="str">
        <f t="shared" si="29"/>
        <v>0.500000000000003+0.499999999999988i</v>
      </c>
      <c r="AF13" t="str">
        <f t="shared" si="30"/>
        <v>0.461939766255628-0.691341716182545i</v>
      </c>
      <c r="AG13" t="str">
        <f t="shared" si="31"/>
        <v>-0.853553390593271-0.353553390593255i</v>
      </c>
      <c r="AH13" t="str">
        <f t="shared" si="32"/>
        <v>-0.191341716182526+0.961939766255637i</v>
      </c>
      <c r="AI13" t="str">
        <f t="shared" si="33"/>
        <v>1.11577413974828E-14+1.22124532708767E-14i</v>
      </c>
      <c r="AJ13" s="4">
        <f t="shared" si="34"/>
        <v>1.11577413974828E-14</v>
      </c>
      <c r="AK13" s="4">
        <f t="shared" si="35"/>
        <v>1.22124532708767E-14</v>
      </c>
      <c r="AL13">
        <f t="shared" si="36"/>
        <v>1.6542043646008447E-14</v>
      </c>
    </row>
    <row r="14" spans="1:38" x14ac:dyDescent="0.25">
      <c r="A14" s="2">
        <v>10</v>
      </c>
      <c r="B14" t="str">
        <f t="shared" si="0"/>
        <v>-0.382683432365089-0.923879532511287i</v>
      </c>
      <c r="C14" t="str">
        <f t="shared" si="1"/>
        <v>1</v>
      </c>
      <c r="D14" t="str">
        <f t="shared" si="2"/>
        <v>-0.375330277517864-0.906127446352888i</v>
      </c>
      <c r="E14" t="str">
        <f t="shared" si="3"/>
        <v>-0.65328148243819+0.653281482438187i</v>
      </c>
      <c r="F14" t="str">
        <f t="shared" si="4"/>
        <v>0.768177756711416+0.31818964514321i</v>
      </c>
      <c r="G14" t="str">
        <f t="shared" si="5"/>
        <v>2.72872562900056E-15-0.707106781186548i</v>
      </c>
      <c r="H14" t="str">
        <f t="shared" si="6"/>
        <v>-0.513279967159338+0.212607523691812i</v>
      </c>
      <c r="I14" t="str">
        <f t="shared" si="7"/>
        <v>0.270598050073097+0.2705980500731i</v>
      </c>
      <c r="J14" t="str">
        <f t="shared" si="8"/>
        <v>0.0746578340503437-0.180239955501736i</v>
      </c>
      <c r="K14" t="str">
        <f t="shared" si="9"/>
        <v>-6.12574227454309E-17-4.7278488584564E-31i</v>
      </c>
      <c r="L14" t="str">
        <f t="shared" si="10"/>
        <v>-0.0746578340503413-0.180239955501737i</v>
      </c>
      <c r="M14" t="str">
        <f t="shared" si="11"/>
        <v>-0.270598050073101+0.270598050073095i</v>
      </c>
      <c r="N14" t="str">
        <f t="shared" si="12"/>
        <v>0.513279967159334+0.212607523691819i</v>
      </c>
      <c r="O14" t="str">
        <f t="shared" si="13"/>
        <v>6.93010292005467E-15-0.707106781186547i</v>
      </c>
      <c r="P14" t="str">
        <f t="shared" si="14"/>
        <v>-0.768177756711419+0.318189645143198i</v>
      </c>
      <c r="Q14" t="str">
        <f t="shared" si="15"/>
        <v>0.653281482438179+0.653281482438195i</v>
      </c>
      <c r="R14" t="str">
        <f t="shared" si="16"/>
        <v>0.375330277517879-0.90612744635288i</v>
      </c>
      <c r="S14" t="str">
        <f t="shared" si="17"/>
        <v>-0.999999999999998-1.54360031701106E-14i</v>
      </c>
      <c r="T14" t="str">
        <f t="shared" si="18"/>
        <v>0.375330277517851+0.906127446352892i</v>
      </c>
      <c r="U14" t="str">
        <f t="shared" si="19"/>
        <v>0.653281482438196-0.653281482438178i</v>
      </c>
      <c r="V14" t="str">
        <f t="shared" si="20"/>
        <v>-0.768177756711408-0.318189645143225i</v>
      </c>
      <c r="W14" t="str">
        <f t="shared" si="21"/>
        <v>-1.48997021119498E-14+0.707106781186546i</v>
      </c>
      <c r="X14" t="str">
        <f t="shared" si="22"/>
        <v>0.51327996715934-0.212607523691803i</v>
      </c>
      <c r="Y14" t="str">
        <f t="shared" si="23"/>
        <v>-0.270598050073093-0.270598050073104i</v>
      </c>
      <c r="Z14" t="str">
        <f t="shared" si="24"/>
        <v>-0.0746578340503461+0.180239955501735i</v>
      </c>
      <c r="AA14" t="str">
        <f t="shared" si="25"/>
        <v>1.83772268236292E-16+3.60217372146348E-30i</v>
      </c>
      <c r="AB14" t="str">
        <f t="shared" si="26"/>
        <v>0.0746578340503373+0.180239955501738i</v>
      </c>
      <c r="AC14" t="str">
        <f t="shared" si="27"/>
        <v>0.270598050073104-0.27059805007309i</v>
      </c>
      <c r="AD14" t="str">
        <f t="shared" si="28"/>
        <v>-0.513279967159329-0.212607523691826i</v>
      </c>
      <c r="AE14" t="str">
        <f t="shared" si="29"/>
        <v>-1.78450054360569E-14+0.707106781186545i</v>
      </c>
      <c r="AF14" t="str">
        <f t="shared" si="30"/>
        <v>0.768177756711421-0.318189645143189i</v>
      </c>
      <c r="AG14" t="str">
        <f t="shared" si="31"/>
        <v>-0.653281482438165-0.653281482438207i</v>
      </c>
      <c r="AH14" t="str">
        <f t="shared" si="32"/>
        <v>-0.375330277517892+0.906127446352873i</v>
      </c>
      <c r="AI14" t="str">
        <f t="shared" si="33"/>
        <v>-9.6034291630076E-15-2.8421709430404E-14i</v>
      </c>
      <c r="AJ14" s="4">
        <f t="shared" si="34"/>
        <v>-9.6034291630075993E-15</v>
      </c>
      <c r="AK14" s="4">
        <f t="shared" si="35"/>
        <v>-2.8421709430404001E-14</v>
      </c>
      <c r="AL14">
        <f t="shared" si="36"/>
        <v>3.0000323642174609E-14</v>
      </c>
    </row>
    <row r="15" spans="1:38" x14ac:dyDescent="0.25">
      <c r="A15" s="2">
        <v>11</v>
      </c>
      <c r="B15" t="str">
        <f t="shared" si="0"/>
        <v>-0.5555702330196-0.831469612302547i</v>
      </c>
      <c r="C15" t="str">
        <f t="shared" si="1"/>
        <v>1</v>
      </c>
      <c r="D15" t="str">
        <f t="shared" si="2"/>
        <v>-0.544895106775816-0.815493156848919i</v>
      </c>
      <c r="E15" t="str">
        <f t="shared" si="3"/>
        <v>-0.353553390593279+0.853553390593272i</v>
      </c>
      <c r="F15" t="str">
        <f t="shared" si="4"/>
        <v>0.815493156848919-0.162211674410722i</v>
      </c>
      <c r="G15" t="str">
        <f t="shared" si="5"/>
        <v>-0.499999999999995-0.500000000000007i</v>
      </c>
      <c r="H15" t="str">
        <f t="shared" si="6"/>
        <v>-0.108386375662378+0.544895106775818i</v>
      </c>
      <c r="I15" t="str">
        <f t="shared" si="7"/>
        <v>0.353553390593277-0.14644660940672i</v>
      </c>
      <c r="J15" t="str">
        <f t="shared" si="8"/>
        <v>-0.162211674410727-0.108386375662373i</v>
      </c>
      <c r="K15" t="str">
        <f t="shared" si="9"/>
        <v>-1.45587273440796E-30+6.1257422745431E-17i</v>
      </c>
      <c r="L15" t="str">
        <f t="shared" si="10"/>
        <v>-0.162211674410732+0.108386375662365i</v>
      </c>
      <c r="M15" t="str">
        <f t="shared" si="11"/>
        <v>0.35355339059327+0.146446609406738i</v>
      </c>
      <c r="N15" t="str">
        <f t="shared" si="12"/>
        <v>-0.108386375662353-0.544895106775823i</v>
      </c>
      <c r="O15" t="str">
        <f t="shared" si="13"/>
        <v>-0.500000000000019+0.499999999999983i</v>
      </c>
      <c r="P15" t="str">
        <f t="shared" si="14"/>
        <v>0.815493156848913+0.162211674410762i</v>
      </c>
      <c r="Q15" t="str">
        <f t="shared" si="15"/>
        <v>-0.353553390593241-0.853553390593291i</v>
      </c>
      <c r="R15" t="str">
        <f t="shared" si="16"/>
        <v>-0.544895106775859+0.815493156848894i</v>
      </c>
      <c r="S15" t="str">
        <f t="shared" si="17"/>
        <v>1+4.75329411248062E-14i</v>
      </c>
      <c r="T15" t="str">
        <f t="shared" si="18"/>
        <v>-0.544895106775782-0.815493156848946i</v>
      </c>
      <c r="U15" t="str">
        <f t="shared" si="19"/>
        <v>-0.353553390593322+0.853553390593257i</v>
      </c>
      <c r="V15" t="str">
        <f t="shared" si="20"/>
        <v>0.815493156848929-0.162211674410685i</v>
      </c>
      <c r="W15" t="str">
        <f t="shared" si="21"/>
        <v>-0.499999999999971-0.500000000000034i</v>
      </c>
      <c r="X15" t="str">
        <f t="shared" si="22"/>
        <v>-0.108386375662404+0.544895106775814i</v>
      </c>
      <c r="Y15" t="str">
        <f t="shared" si="23"/>
        <v>0.353553390593285-0.146446609406705i</v>
      </c>
      <c r="Z15" t="str">
        <f t="shared" si="24"/>
        <v>-0.162211674410722-0.108386375662382i</v>
      </c>
      <c r="AA15" t="str">
        <f t="shared" si="25"/>
        <v>-1.31028546096717E-29+1.83772268236295E-16i</v>
      </c>
      <c r="AB15" t="str">
        <f t="shared" si="26"/>
        <v>-0.162211674410737+0.108386375662358i</v>
      </c>
      <c r="AC15" t="str">
        <f t="shared" si="27"/>
        <v>0.353553390593264+0.146446609406755i</v>
      </c>
      <c r="AD15" t="str">
        <f t="shared" si="28"/>
        <v>-0.108386375662327-0.54489510677583i</v>
      </c>
      <c r="AE15" t="str">
        <f t="shared" si="29"/>
        <v>-0.500000000000043+0.499999999999963i</v>
      </c>
      <c r="AF15" t="str">
        <f t="shared" si="30"/>
        <v>0.815493156848908+0.162211674410801i</v>
      </c>
      <c r="AG15" t="str">
        <f t="shared" si="31"/>
        <v>-0.353553390593195-0.853553390593313i</v>
      </c>
      <c r="AH15" t="str">
        <f t="shared" si="32"/>
        <v>-0.5448951067759+0.815493156848871i</v>
      </c>
      <c r="AI15" t="str">
        <f t="shared" si="33"/>
        <v>-3.70814490224802E-14-5.14033260401447E-14i</v>
      </c>
      <c r="AJ15" s="4">
        <f t="shared" si="34"/>
        <v>-3.7081449022480197E-14</v>
      </c>
      <c r="AK15" s="4">
        <f t="shared" si="35"/>
        <v>-5.1403326040144697E-14</v>
      </c>
      <c r="AL15">
        <f t="shared" si="36"/>
        <v>6.3382456481239474E-14</v>
      </c>
    </row>
    <row r="16" spans="1:38" x14ac:dyDescent="0.25">
      <c r="A16" s="2">
        <v>12</v>
      </c>
      <c r="B16" t="str">
        <f t="shared" si="0"/>
        <v>-0.707106781186544-0.707106781186551i</v>
      </c>
      <c r="C16" t="str">
        <f t="shared" si="1"/>
        <v>1</v>
      </c>
      <c r="D16" t="str">
        <f t="shared" si="2"/>
        <v>-0.69351992266107-0.693519922661077i</v>
      </c>
      <c r="E16" t="str">
        <f t="shared" si="3"/>
        <v>-9.1960519322375E-15+0.923879532511287i</v>
      </c>
      <c r="F16" t="str">
        <f t="shared" si="4"/>
        <v>0.587937801209688-0.587937801209671i</v>
      </c>
      <c r="G16" t="str">
        <f t="shared" si="5"/>
        <v>-0.707106781186548-1.4076706870545E-14i</v>
      </c>
      <c r="H16" t="str">
        <f t="shared" si="6"/>
        <v>0.392847479193542+0.392847479193561i</v>
      </c>
      <c r="I16" t="str">
        <f t="shared" si="7"/>
        <v>1.17672794580637E-14-0.38268343236509i</v>
      </c>
      <c r="J16" t="str">
        <f t="shared" si="8"/>
        <v>-0.137949689641476+0.137949689641467i</v>
      </c>
      <c r="K16" t="str">
        <f t="shared" si="9"/>
        <v>6.1257422745431E-17+2.43896058297028E-30i</v>
      </c>
      <c r="L16" t="str">
        <f t="shared" si="10"/>
        <v>0.137949689641465+0.137949689641478i</v>
      </c>
      <c r="M16" t="str">
        <f t="shared" si="11"/>
        <v>1.87057559868969E-14-0.38268343236509i</v>
      </c>
      <c r="N16" t="str">
        <f t="shared" si="12"/>
        <v>-0.392847479193572+0.39284747919353i</v>
      </c>
      <c r="O16" t="str">
        <f t="shared" si="13"/>
        <v>0.707106781186547+4.34861945785822E-14i</v>
      </c>
      <c r="P16" t="str">
        <f t="shared" si="14"/>
        <v>-0.587937801209641-0.587937801209718i</v>
      </c>
      <c r="Q16" t="str">
        <f t="shared" si="15"/>
        <v>-6.51929333888417E-14+0.923879532511287i</v>
      </c>
      <c r="R16" t="str">
        <f t="shared" si="16"/>
        <v>0.693519922661123-0.693519922661024i</v>
      </c>
      <c r="S16" t="str">
        <f t="shared" si="17"/>
        <v>-1-7.96298790795014E-14i</v>
      </c>
      <c r="T16" t="str">
        <f t="shared" si="18"/>
        <v>0.693519922661013+0.693519922661135i</v>
      </c>
      <c r="U16" t="str">
        <f t="shared" si="19"/>
        <v>8.19438975269583E-14-0.923879532511287i</v>
      </c>
      <c r="V16" t="str">
        <f t="shared" si="20"/>
        <v>-0.587937801209736+0.587937801209622i</v>
      </c>
      <c r="W16" t="str">
        <f t="shared" si="21"/>
        <v>0.707106781186548+6.91274603857783E-14i</v>
      </c>
      <c r="X16" t="str">
        <f t="shared" si="22"/>
        <v>-0.39284747919351-0.392847479193592i</v>
      </c>
      <c r="Y16" t="str">
        <f t="shared" si="23"/>
        <v>-4.08807502382106E-14+0.38268343236509i</v>
      </c>
      <c r="Z16" t="str">
        <f t="shared" si="24"/>
        <v>0.137949689641488-0.137949689641456i</v>
      </c>
      <c r="AA16" t="str">
        <f t="shared" si="25"/>
        <v>-1.83772268236293E-16-2.26035354978799E-29i</v>
      </c>
      <c r="AB16" t="str">
        <f t="shared" si="26"/>
        <v>-0.137949689641454-0.137949689641488i</v>
      </c>
      <c r="AC16" t="str">
        <f t="shared" si="27"/>
        <v>-5.05383560966713E-14+0.382683432365089i</v>
      </c>
      <c r="AD16" t="str">
        <f t="shared" si="28"/>
        <v>0.392847479193603-0.392847479193498i</v>
      </c>
      <c r="AE16" t="str">
        <f t="shared" si="29"/>
        <v>-0.707106781186547-9.97930220607626E-14i</v>
      </c>
      <c r="AF16" t="str">
        <f t="shared" si="30"/>
        <v>0.587937801209591+0.587937801209767i</v>
      </c>
      <c r="AG16" t="str">
        <f t="shared" si="31"/>
        <v>1.32196789941308E-13-0.923879532511287i</v>
      </c>
      <c r="AH16" t="str">
        <f t="shared" si="32"/>
        <v>-0.693519922661178+0.693519922660969i</v>
      </c>
      <c r="AI16" t="str">
        <f t="shared" si="33"/>
        <v>-4.54081217071689E-14-7.68274333040608E-14i</v>
      </c>
      <c r="AJ16" s="4">
        <f t="shared" si="34"/>
        <v>-4.5408121707168903E-14</v>
      </c>
      <c r="AK16" s="4">
        <f t="shared" si="35"/>
        <v>-7.6827433304060795E-14</v>
      </c>
      <c r="AL16">
        <f t="shared" si="36"/>
        <v>8.9243218370153891E-14</v>
      </c>
    </row>
    <row r="17" spans="1:38" x14ac:dyDescent="0.25">
      <c r="A17" s="2">
        <v>13</v>
      </c>
      <c r="B17" t="str">
        <f t="shared" si="0"/>
        <v>-0.831469612302547-0.5555702330196i</v>
      </c>
      <c r="C17" t="str">
        <f t="shared" si="1"/>
        <v>1</v>
      </c>
      <c r="D17" t="str">
        <f t="shared" si="2"/>
        <v>-0.815493156848919-0.544895106775816i</v>
      </c>
      <c r="E17" t="str">
        <f t="shared" si="3"/>
        <v>0.353553390593279+0.853553390593272i</v>
      </c>
      <c r="F17" t="str">
        <f t="shared" si="4"/>
        <v>0.162211674410722-0.815493156848919i</v>
      </c>
      <c r="G17" t="str">
        <f t="shared" si="5"/>
        <v>-0.499999999999995+0.500000000000006i</v>
      </c>
      <c r="H17" t="str">
        <f t="shared" si="6"/>
        <v>0.544895106775818-0.108386375662377i</v>
      </c>
      <c r="I17" t="str">
        <f t="shared" si="7"/>
        <v>-0.353553390593277-0.146446609406721i</v>
      </c>
      <c r="J17" t="str">
        <f t="shared" si="8"/>
        <v>0.108386375662373+0.162211674410727i</v>
      </c>
      <c r="K17" t="str">
        <f t="shared" si="9"/>
        <v>-1.36581341021407E-30-6.1257422745431E-17i</v>
      </c>
      <c r="L17" t="str">
        <f t="shared" si="10"/>
        <v>0.108386375662366-0.162211674410732i</v>
      </c>
      <c r="M17" t="str">
        <f t="shared" si="11"/>
        <v>-0.353553390593271+0.146446609406736i</v>
      </c>
      <c r="N17" t="str">
        <f t="shared" si="12"/>
        <v>0.544895106775823+0.108386375662353i</v>
      </c>
      <c r="O17" t="str">
        <f t="shared" si="13"/>
        <v>-0.500000000000018-0.499999999999985i</v>
      </c>
      <c r="P17" t="str">
        <f t="shared" si="14"/>
        <v>0.162211674410758+0.815493156848913i</v>
      </c>
      <c r="Q17" t="str">
        <f t="shared" si="15"/>
        <v>0.35355339059324-0.853553390593291i</v>
      </c>
      <c r="R17" t="str">
        <f t="shared" si="16"/>
        <v>-0.815493156848898+0.544895106775853i</v>
      </c>
      <c r="S17" t="str">
        <f t="shared" si="17"/>
        <v>1-4.45925848330255E-14i</v>
      </c>
      <c r="T17" t="str">
        <f t="shared" si="18"/>
        <v>-0.815493156848947-0.54489510677578i</v>
      </c>
      <c r="U17" t="str">
        <f t="shared" si="19"/>
        <v>0.353553390593317+0.85355339059326i</v>
      </c>
      <c r="V17" t="str">
        <f t="shared" si="20"/>
        <v>0.162211674410685-0.815493156848929i</v>
      </c>
      <c r="W17" t="str">
        <f t="shared" si="21"/>
        <v>-0.499999999999977+0.500000000000029i</v>
      </c>
      <c r="X17" t="str">
        <f t="shared" si="22"/>
        <v>0.544895106775815-0.108386375662402i</v>
      </c>
      <c r="Y17" t="str">
        <f t="shared" si="23"/>
        <v>-0.353553390593285-0.146446609406705i</v>
      </c>
      <c r="Z17" t="str">
        <f t="shared" si="24"/>
        <v>0.10838637566238+0.162211674410723i</v>
      </c>
      <c r="AA17" t="str">
        <f t="shared" si="25"/>
        <v>-1.22923206919266E-29-1.83772268236295E-16i</v>
      </c>
      <c r="AB17" t="str">
        <f t="shared" si="26"/>
        <v>0.108386375662358-0.162211674410737i</v>
      </c>
      <c r="AC17" t="str">
        <f t="shared" si="27"/>
        <v>-0.353553390593265+0.146446609406752i</v>
      </c>
      <c r="AD17" t="str">
        <f t="shared" si="28"/>
        <v>0.544895106775829+0.108386375662333i</v>
      </c>
      <c r="AE17" t="str">
        <f t="shared" si="29"/>
        <v>-0.500000000000044-0.499999999999962i</v>
      </c>
      <c r="AF17" t="str">
        <f t="shared" si="30"/>
        <v>0.162211674410795+0.815493156848909i</v>
      </c>
      <c r="AG17" t="str">
        <f t="shared" si="31"/>
        <v>0.353553390593209-0.853553390593307i</v>
      </c>
      <c r="AH17" t="str">
        <f t="shared" si="32"/>
        <v>-0.815493156848873+0.544895106775897i</v>
      </c>
      <c r="AI17" t="str">
        <f t="shared" si="33"/>
        <v>-2.22044604925031E-15+5.49560397189452E-14i</v>
      </c>
      <c r="AJ17" s="4">
        <f t="shared" si="34"/>
        <v>-2.2204460492503099E-15</v>
      </c>
      <c r="AK17" s="4">
        <f t="shared" si="35"/>
        <v>5.4956039718945198E-14</v>
      </c>
      <c r="AL17">
        <f t="shared" si="36"/>
        <v>5.5000878922503717E-14</v>
      </c>
    </row>
    <row r="18" spans="1:38" x14ac:dyDescent="0.25">
      <c r="A18" s="2">
        <v>14</v>
      </c>
      <c r="B18" t="str">
        <f t="shared" si="0"/>
        <v>-0.923879532511287-0.382683432365089i</v>
      </c>
      <c r="C18" t="str">
        <f t="shared" si="1"/>
        <v>1</v>
      </c>
      <c r="D18" t="str">
        <f t="shared" si="2"/>
        <v>-0.906127446352888-0.375330277517864i</v>
      </c>
      <c r="E18" t="str">
        <f t="shared" si="3"/>
        <v>0.65328148243819+0.653281482438187i</v>
      </c>
      <c r="F18" t="str">
        <f t="shared" si="4"/>
        <v>-0.31818964514321-0.768177756711416i</v>
      </c>
      <c r="G18" t="str">
        <f t="shared" si="5"/>
        <v>2.2089391607449E-15+0.707106781186548i</v>
      </c>
      <c r="H18" t="str">
        <f t="shared" si="6"/>
        <v>0.212607523691812-0.513279967159338i</v>
      </c>
      <c r="I18" t="str">
        <f t="shared" si="7"/>
        <v>-0.270598050073097+0.2705980500731i</v>
      </c>
      <c r="J18" t="str">
        <f t="shared" si="8"/>
        <v>0.180239955501736-0.0746578340503435i</v>
      </c>
      <c r="K18" t="str">
        <f t="shared" si="9"/>
        <v>-6.12574227454309E-17+3.82725561651741E-31i</v>
      </c>
      <c r="L18" t="str">
        <f t="shared" si="10"/>
        <v>-0.180239955501737-0.0746578340503411i</v>
      </c>
      <c r="M18" t="str">
        <f t="shared" si="11"/>
        <v>0.2705980500731+0.270598050073096i</v>
      </c>
      <c r="N18" t="str">
        <f t="shared" si="12"/>
        <v>-0.212607523691819-0.513279967159334i</v>
      </c>
      <c r="O18" t="str">
        <f t="shared" si="13"/>
        <v>5.37074351528768E-15+0.707106781186547i</v>
      </c>
      <c r="P18" t="str">
        <f t="shared" si="14"/>
        <v>0.318189645143199-0.768177756711419i</v>
      </c>
      <c r="Q18" t="str">
        <f t="shared" si="15"/>
        <v>-0.65328148243818+0.653281482438194i</v>
      </c>
      <c r="R18" t="str">
        <f t="shared" si="16"/>
        <v>0.906127446352881-0.375330277517878i</v>
      </c>
      <c r="S18" t="str">
        <f t="shared" si="17"/>
        <v>-0.999999999999998+1.24956468783299E-14i</v>
      </c>
      <c r="T18" t="str">
        <f t="shared" si="18"/>
        <v>0.90612744635289+0.375330277517856i</v>
      </c>
      <c r="U18" t="str">
        <f t="shared" si="19"/>
        <v>-0.653281482438197-0.653281482438177i</v>
      </c>
      <c r="V18" t="str">
        <f t="shared" si="20"/>
        <v>0.318189645143218+0.768177756711411i</v>
      </c>
      <c r="W18" t="str">
        <f t="shared" si="21"/>
        <v>-1.23007697706715E-14-0.707106781186546i</v>
      </c>
      <c r="X18" t="str">
        <f t="shared" si="22"/>
        <v>-0.212607523691806+0.513279967159338i</v>
      </c>
      <c r="Y18" t="str">
        <f t="shared" si="23"/>
        <v>0.270598050073093-0.270598050073104i</v>
      </c>
      <c r="Z18" t="str">
        <f t="shared" si="24"/>
        <v>-0.180239955501736+0.0746578340503457i</v>
      </c>
      <c r="AA18" t="str">
        <f t="shared" si="25"/>
        <v>1.83772268236292E-16-2.7916398037184E-30i</v>
      </c>
      <c r="AB18" t="str">
        <f t="shared" si="26"/>
        <v>0.180239955501737+0.0746578340503384i</v>
      </c>
      <c r="AC18" t="str">
        <f t="shared" si="27"/>
        <v>-0.270598050073104-0.270598050073091i</v>
      </c>
      <c r="AD18" t="str">
        <f t="shared" si="28"/>
        <v>0.212607523691821+0.513279967159332i</v>
      </c>
      <c r="AE18" t="str">
        <f t="shared" si="29"/>
        <v>-1.42065001582673E-14-0.707106781186545i</v>
      </c>
      <c r="AF18" t="str">
        <f t="shared" si="30"/>
        <v>-0.318189645143189+0.768177756711421i</v>
      </c>
      <c r="AG18" t="str">
        <f t="shared" si="31"/>
        <v>0.653281482438166-0.653281482438205i</v>
      </c>
      <c r="AH18" t="str">
        <f t="shared" si="32"/>
        <v>-0.906127446352877+0.375330277517882i</v>
      </c>
      <c r="AI18" t="str">
        <f t="shared" si="33"/>
        <v>-1.3988810110277E-14+6.93889390390723E-15i</v>
      </c>
      <c r="AJ18" s="4">
        <f t="shared" si="34"/>
        <v>-1.3988810110276999E-14</v>
      </c>
      <c r="AK18" s="4">
        <f t="shared" si="35"/>
        <v>6.93889390390723E-15</v>
      </c>
      <c r="AL18">
        <f t="shared" si="36"/>
        <v>1.5615218759628983E-14</v>
      </c>
    </row>
    <row r="19" spans="1:38" x14ac:dyDescent="0.25">
      <c r="A19" s="2">
        <v>15</v>
      </c>
      <c r="B19" t="str">
        <f t="shared" si="0"/>
        <v>-0.98078528040323-0.195090322016129i</v>
      </c>
      <c r="C19" t="str">
        <f t="shared" si="1"/>
        <v>1</v>
      </c>
      <c r="D19" t="str">
        <f t="shared" si="2"/>
        <v>-0.961939766255643-0.191341716182546i</v>
      </c>
      <c r="E19" t="str">
        <f t="shared" si="3"/>
        <v>0.853553390593273+0.353553390593275i</v>
      </c>
      <c r="F19" t="str">
        <f t="shared" si="4"/>
        <v>-0.691341716182543-0.461939766255644i</v>
      </c>
      <c r="G19" t="str">
        <f t="shared" si="5"/>
        <v>0.499999999999998+0.500000000000001i</v>
      </c>
      <c r="H19" t="str">
        <f t="shared" si="6"/>
        <v>-0.308658283817453-0.461939766255644i</v>
      </c>
      <c r="I19" t="str">
        <f t="shared" si="7"/>
        <v>0.146446609406725+0.353553390593274i</v>
      </c>
      <c r="J19" t="str">
        <f t="shared" si="8"/>
        <v>-0.0380602337443552-0.191341716182545i</v>
      </c>
      <c r="K19" t="str">
        <f t="shared" si="9"/>
        <v>-3.82732203194822E-31+6.12574227454308E-17i</v>
      </c>
      <c r="L19" t="str">
        <f t="shared" si="10"/>
        <v>-0.0380602337443575+0.191341716182544i</v>
      </c>
      <c r="M19" t="str">
        <f t="shared" si="11"/>
        <v>0.146446609406729-0.353553390593271i</v>
      </c>
      <c r="N19" t="str">
        <f t="shared" si="12"/>
        <v>-0.308658283817459+0.461939766255638i</v>
      </c>
      <c r="O19" t="str">
        <f t="shared" si="13"/>
        <v>0.500000000000002-0.499999999999994i</v>
      </c>
      <c r="P19" t="str">
        <f t="shared" si="14"/>
        <v>-0.691341716182547+0.461939766255634i</v>
      </c>
      <c r="Q19" t="str">
        <f t="shared" si="15"/>
        <v>0.853553390593275-0.35355339059326i</v>
      </c>
      <c r="R19" t="str">
        <f t="shared" si="16"/>
        <v>-0.96193976625564+0.191341716182535i</v>
      </c>
      <c r="S19" t="str">
        <f t="shared" si="17"/>
        <v>0.999999999999995+1.24958637187644E-14i</v>
      </c>
      <c r="T19" t="str">
        <f t="shared" si="18"/>
        <v>-0.961939766255635-0.191341716182558i</v>
      </c>
      <c r="U19" t="str">
        <f t="shared" si="19"/>
        <v>0.853553390593265+0.353553390593281i</v>
      </c>
      <c r="V19" t="str">
        <f t="shared" si="20"/>
        <v>-0.691341716182534-0.461939766255651i</v>
      </c>
      <c r="W19" t="str">
        <f t="shared" si="21"/>
        <v>0.499999999999989+0.500000000000006i</v>
      </c>
      <c r="X19" t="str">
        <f t="shared" si="22"/>
        <v>-0.308658283817447-0.461939766255644i</v>
      </c>
      <c r="Y19" t="str">
        <f t="shared" si="23"/>
        <v>0.146446609406717+0.353553390593275i</v>
      </c>
      <c r="Z19" t="str">
        <f t="shared" si="24"/>
        <v>-0.0380602337443541-0.191341716182544i</v>
      </c>
      <c r="AA19" t="str">
        <f t="shared" si="25"/>
        <v>-2.79169957760611E-30+1.83772268236292E-16i</v>
      </c>
      <c r="AB19" t="str">
        <f t="shared" si="26"/>
        <v>-0.0380602337443595+0.191341716182542i</v>
      </c>
      <c r="AC19" t="str">
        <f t="shared" si="27"/>
        <v>0.146446609406732-0.353553390593267i</v>
      </c>
      <c r="AD19" t="str">
        <f t="shared" si="28"/>
        <v>-0.308658283817463+0.461939766255631i</v>
      </c>
      <c r="AE19" t="str">
        <f t="shared" si="29"/>
        <v>0.500000000000009-0.499999999999982i</v>
      </c>
      <c r="AF19" t="str">
        <f t="shared" si="30"/>
        <v>-0.691341716182545+0.461939766255628i</v>
      </c>
      <c r="AG19" t="str">
        <f t="shared" si="31"/>
        <v>0.853553390593272-0.353553390593254i</v>
      </c>
      <c r="AH19" t="str">
        <f t="shared" si="32"/>
        <v>-0.961939766255638+0.191341716182522i</v>
      </c>
      <c r="AI19" t="str">
        <f t="shared" si="33"/>
        <v>6.99440505513849E-15-5.32907051820075E-15i</v>
      </c>
      <c r="AJ19" s="4">
        <f t="shared" si="34"/>
        <v>6.9944050551384901E-15</v>
      </c>
      <c r="AK19" s="4">
        <f t="shared" si="35"/>
        <v>-5.3290705182007498E-15</v>
      </c>
      <c r="AL19">
        <f t="shared" si="36"/>
        <v>8.7932186748256917E-15</v>
      </c>
    </row>
    <row r="20" spans="1:38" x14ac:dyDescent="0.25">
      <c r="A20" s="2">
        <v>16</v>
      </c>
      <c r="B20" t="str">
        <f t="shared" si="0"/>
        <v>-1-3.2311393144413E-15i</v>
      </c>
      <c r="C20" t="str">
        <f t="shared" si="1"/>
        <v>1</v>
      </c>
      <c r="D20" t="str">
        <f t="shared" si="2"/>
        <v>-0.98078528040323-3.16905387853621E-15i</v>
      </c>
      <c r="E20" t="str">
        <f t="shared" si="3"/>
        <v>0.923879532511287+5.97036695860974E-15i</v>
      </c>
      <c r="F20" t="str">
        <f t="shared" si="4"/>
        <v>-0.831469612302545-7.69053577608029E-15i</v>
      </c>
      <c r="G20" t="str">
        <f t="shared" si="5"/>
        <v>0.707106781186548+9.13904208079958E-15i</v>
      </c>
      <c r="H20" t="str">
        <f t="shared" si="6"/>
        <v>-0.555570233019602-9.22234685501267E-15i</v>
      </c>
      <c r="I20" t="str">
        <f t="shared" si="7"/>
        <v>0.38268343236509+7.07912973359764E-15i</v>
      </c>
      <c r="J20" t="str">
        <f t="shared" si="8"/>
        <v>-0.195090322016128-4.32591055837973E-15i</v>
      </c>
      <c r="K20" t="str">
        <f t="shared" si="9"/>
        <v>6.1257422745431E-17+1.5834501354729E-30i</v>
      </c>
      <c r="L20" t="str">
        <f t="shared" si="10"/>
        <v>0.195090322016128+5.75991359095347E-15i</v>
      </c>
      <c r="M20" t="str">
        <f t="shared" si="11"/>
        <v>-0.38268343236509-1.27049259992052E-14i</v>
      </c>
      <c r="N20" t="str">
        <f t="shared" si="12"/>
        <v>0.555570233019602+1.8512759311283E-14i</v>
      </c>
      <c r="O20" t="str">
        <f t="shared" si="13"/>
        <v>-0.707106781186547-2.61610522754518E-14i</v>
      </c>
      <c r="P20" t="str">
        <f t="shared" si="14"/>
        <v>0.831469612302545+3.38179839405369E-14i</v>
      </c>
      <c r="Q20" t="str">
        <f t="shared" si="15"/>
        <v>-0.923879532511287-4.0971998847089E-14i</v>
      </c>
      <c r="R20" t="str">
        <f t="shared" si="16"/>
        <v>0.98078528040323+4.71002520178363E-14i</v>
      </c>
      <c r="S20" t="str">
        <f t="shared" si="17"/>
        <v>-1-5.16982290310608E-14i</v>
      </c>
      <c r="T20" t="str">
        <f t="shared" si="18"/>
        <v>0.98078528040323+5.43094720953225E-14i</v>
      </c>
      <c r="U20" t="str">
        <f t="shared" si="19"/>
        <v>-0.923879532511287-5.45538724906668E-14i</v>
      </c>
      <c r="V20" t="str">
        <f t="shared" si="20"/>
        <v>0.831469612302545+5.21530289578317E-14i</v>
      </c>
      <c r="W20" t="str">
        <f t="shared" si="21"/>
        <v>-0.707106781186548-4.6951284370945E-14i</v>
      </c>
      <c r="X20" t="str">
        <f t="shared" si="22"/>
        <v>0.555570233019602+3.89312349876914E-14i</v>
      </c>
      <c r="Y20" t="str">
        <f t="shared" si="23"/>
        <v>-0.38268343236509-2.55036208015868E-14i</v>
      </c>
      <c r="Z20" t="str">
        <f t="shared" si="24"/>
        <v>0.195090322016129+1.51048347633413E-14i</v>
      </c>
      <c r="AA20" t="str">
        <f t="shared" si="25"/>
        <v>-1.83772268236293E-16-1.35981609681088E-29i</v>
      </c>
      <c r="AB20" t="str">
        <f t="shared" si="26"/>
        <v>-0.195090322016127-1.65388377959149E-14i</v>
      </c>
      <c r="AC20" t="str">
        <f t="shared" si="27"/>
        <v>0.382683432365089+3.11294170671943E-14i</v>
      </c>
      <c r="AD20" t="str">
        <f t="shared" si="28"/>
        <v>-0.555570233019602-5.11823203935364E-14i</v>
      </c>
      <c r="AE20" t="str">
        <f t="shared" si="29"/>
        <v>0.707106781186547+6.27172205986501E-14i</v>
      </c>
      <c r="AF20" t="str">
        <f t="shared" si="30"/>
        <v>-0.831469612302545-8.27114373199896E-14i</v>
      </c>
      <c r="AG20" t="str">
        <f t="shared" si="31"/>
        <v>0.923879532511287+8.87349345159669E-14i</v>
      </c>
      <c r="AH20" t="str">
        <f t="shared" si="32"/>
        <v>-0.98078528040323-1.04774012637725E-13i</v>
      </c>
      <c r="AI20" t="str">
        <f t="shared" si="33"/>
        <v>1.22124532708767E-15-6.76998484115654E-14i</v>
      </c>
      <c r="AJ20" s="4">
        <f t="shared" si="34"/>
        <v>1.22124532708767E-15</v>
      </c>
      <c r="AK20" s="4">
        <f t="shared" si="35"/>
        <v>-6.7699848411565401E-14</v>
      </c>
      <c r="AL20">
        <f t="shared" si="36"/>
        <v>6.7710862607840607E-14</v>
      </c>
    </row>
    <row r="21" spans="1:38" x14ac:dyDescent="0.25">
      <c r="A21" s="2">
        <v>17</v>
      </c>
      <c r="B21" t="str">
        <f t="shared" si="0"/>
        <v>-0.98078528040323+0.195090322016133i</v>
      </c>
      <c r="C21" t="str">
        <f t="shared" si="1"/>
        <v>1</v>
      </c>
      <c r="D21" t="str">
        <f t="shared" si="2"/>
        <v>-0.961939766255643+0.19134171618255i</v>
      </c>
      <c r="E21" t="str">
        <f t="shared" si="3"/>
        <v>0.853553390593271-0.353553390593282i</v>
      </c>
      <c r="F21" t="str">
        <f t="shared" si="4"/>
        <v>-0.691341716182539+0.461939766255654i</v>
      </c>
      <c r="G21" t="str">
        <f t="shared" si="5"/>
        <v>0.499999999999991-0.50000000000001i</v>
      </c>
      <c r="H21" t="str">
        <f t="shared" si="6"/>
        <v>-0.308658283817445+0.461939766255652i</v>
      </c>
      <c r="I21" t="str">
        <f t="shared" si="7"/>
        <v>0.146446609406716-0.353553390593279i</v>
      </c>
      <c r="J21" t="str">
        <f t="shared" si="8"/>
        <v>-0.0380602337443499+0.191341716182547i</v>
      </c>
      <c r="K21" t="str">
        <f t="shared" si="9"/>
        <v>-2.34140295663665E-30-6.1257422745431E-17i</v>
      </c>
      <c r="L21" t="str">
        <f t="shared" si="10"/>
        <v>-0.0380602337443646-0.191341716182544i</v>
      </c>
      <c r="M21" t="str">
        <f t="shared" si="11"/>
        <v>0.146446609406744+0.353553390593268i</v>
      </c>
      <c r="N21" t="str">
        <f t="shared" si="12"/>
        <v>-0.308658283817482-0.461939766255629i</v>
      </c>
      <c r="O21" t="str">
        <f t="shared" si="13"/>
        <v>0.500000000000031+0.499999999999974i</v>
      </c>
      <c r="P21" t="str">
        <f t="shared" si="14"/>
        <v>-0.691341716182577-0.461939766255604i</v>
      </c>
      <c r="Q21" t="str">
        <f t="shared" si="15"/>
        <v>0.853553390593304+0.353553390593216i</v>
      </c>
      <c r="R21" t="str">
        <f t="shared" si="16"/>
        <v>-0.961939766255663-0.191341716182476i</v>
      </c>
      <c r="S21" t="str">
        <f t="shared" si="17"/>
        <v>1.00000000000001-7.6444709937174E-14i</v>
      </c>
      <c r="T21" t="str">
        <f t="shared" si="18"/>
        <v>-0.961939766255635+0.191341716182623i</v>
      </c>
      <c r="U21" t="str">
        <f t="shared" si="19"/>
        <v>0.853553390593252-0.353553390593347i</v>
      </c>
      <c r="V21" t="str">
        <f t="shared" si="20"/>
        <v>-0.691341716182508+0.461939766255711i</v>
      </c>
      <c r="W21" t="str">
        <f t="shared" si="21"/>
        <v>0.499999999999957-0.500000000000052i</v>
      </c>
      <c r="X21" t="str">
        <f t="shared" si="22"/>
        <v>-0.308658283817412+0.461939766255678i</v>
      </c>
      <c r="Y21" t="str">
        <f t="shared" si="23"/>
        <v>0.146446609406689-0.353553390593294i</v>
      </c>
      <c r="Z21" t="str">
        <f t="shared" si="24"/>
        <v>-0.0380602337443358+0.191341716182551i</v>
      </c>
      <c r="AA21" t="str">
        <f t="shared" si="25"/>
        <v>-2.10726266097299E-29-1.83772268236295E-16i</v>
      </c>
      <c r="AB21" t="str">
        <f t="shared" si="26"/>
        <v>-0.0380602337443794-0.191341716182542i</v>
      </c>
      <c r="AC21" t="str">
        <f t="shared" si="27"/>
        <v>0.14644660940677+0.35355339059326i</v>
      </c>
      <c r="AD21" t="str">
        <f t="shared" si="28"/>
        <v>-0.308658283817516-0.461939766255611i</v>
      </c>
      <c r="AE21" t="str">
        <f t="shared" si="29"/>
        <v>0.500000000000077+0.499999999999936i</v>
      </c>
      <c r="AF21" t="str">
        <f t="shared" si="30"/>
        <v>-0.69134171618262-0.46193976625555i</v>
      </c>
      <c r="AG21" t="str">
        <f t="shared" si="31"/>
        <v>0.853553390593337+0.353553390593153i</v>
      </c>
      <c r="AH21" t="str">
        <f t="shared" si="32"/>
        <v>-0.961939766255685-0.191341716182403i</v>
      </c>
      <c r="AI21" t="str">
        <f t="shared" si="33"/>
        <v>-5.6621374255883E-15+7.33579863521072E-14i</v>
      </c>
      <c r="AJ21" s="4">
        <f t="shared" si="34"/>
        <v>-5.6621374255882999E-15</v>
      </c>
      <c r="AK21" s="4">
        <f t="shared" si="35"/>
        <v>7.3357986352107206E-14</v>
      </c>
      <c r="AL21">
        <f t="shared" si="36"/>
        <v>7.3576177950897896E-14</v>
      </c>
    </row>
    <row r="22" spans="1:38" x14ac:dyDescent="0.25">
      <c r="A22" s="2">
        <v>18</v>
      </c>
      <c r="B22" t="str">
        <f t="shared" si="0"/>
        <v>-0.923879532511286+0.382683432365092i</v>
      </c>
      <c r="C22" t="str">
        <f t="shared" si="1"/>
        <v>1</v>
      </c>
      <c r="D22" t="str">
        <f t="shared" si="2"/>
        <v>-0.906127446352887+0.375330277517867i</v>
      </c>
      <c r="E22" t="str">
        <f t="shared" si="3"/>
        <v>0.653281482438185-0.653281482438192i</v>
      </c>
      <c r="F22" t="str">
        <f t="shared" si="4"/>
        <v>-0.318189645143203+0.768177756711418i</v>
      </c>
      <c r="G22" t="str">
        <f t="shared" si="5"/>
        <v>-6.58357860788424E-15-0.707106781186548i</v>
      </c>
      <c r="H22" t="str">
        <f t="shared" si="6"/>
        <v>0.21260752369182+0.513279967159334i</v>
      </c>
      <c r="I22" t="str">
        <f t="shared" si="7"/>
        <v>-0.270598050073102-0.270598050073095i</v>
      </c>
      <c r="J22" t="str">
        <f t="shared" si="8"/>
        <v>0.180239955501738+0.0746578340503398i</v>
      </c>
      <c r="K22" t="str">
        <f t="shared" si="9"/>
        <v>-6.1257422745431E-17+1.14068502435856E-30i</v>
      </c>
      <c r="L22" t="str">
        <f t="shared" si="10"/>
        <v>-0.180239955501735+0.0746578340503463i</v>
      </c>
      <c r="M22" t="str">
        <f t="shared" si="11"/>
        <v>0.270598050073092-0.270598050073105i</v>
      </c>
      <c r="N22" t="str">
        <f t="shared" si="12"/>
        <v>-0.212607523691801+0.513279967159342i</v>
      </c>
      <c r="O22" t="str">
        <f t="shared" si="13"/>
        <v>-1.97507358236527E-14-0.707106781186547i</v>
      </c>
      <c r="P22" t="str">
        <f t="shared" si="14"/>
        <v>0.318189645143232+0.768177756711406i</v>
      </c>
      <c r="Q22" t="str">
        <f t="shared" si="15"/>
        <v>-0.65328148243821-0.653281482438167i</v>
      </c>
      <c r="R22" t="str">
        <f t="shared" si="16"/>
        <v>0.906127446352901+0.375330277517834i</v>
      </c>
      <c r="S22" t="str">
        <f t="shared" si="17"/>
        <v>-1+3.72423446248771E-14i</v>
      </c>
      <c r="T22" t="str">
        <f t="shared" si="18"/>
        <v>0.906127446352873-0.375330277517901i</v>
      </c>
      <c r="U22" t="str">
        <f t="shared" si="19"/>
        <v>-0.653281482438161+0.653281482438216i</v>
      </c>
      <c r="V22" t="str">
        <f t="shared" si="20"/>
        <v>0.318189645143175-0.768177756711431i</v>
      </c>
      <c r="W22" t="str">
        <f t="shared" si="21"/>
        <v>3.29178930394212E-14+0.707106781186548i</v>
      </c>
      <c r="X22" t="str">
        <f t="shared" si="22"/>
        <v>-0.212607523691839-0.513279967159326i</v>
      </c>
      <c r="Y22" t="str">
        <f t="shared" si="23"/>
        <v>0.270598050073113+0.270598050073085i</v>
      </c>
      <c r="Z22" t="str">
        <f t="shared" si="24"/>
        <v>-0.180239955501741-0.074657834050333i</v>
      </c>
      <c r="AA22" t="str">
        <f t="shared" si="25"/>
        <v>1.83772268236293E-16-1.02661652192271E-29i</v>
      </c>
      <c r="AB22" t="str">
        <f t="shared" si="26"/>
        <v>0.180239955501732-0.0746578340503515i</v>
      </c>
      <c r="AC22" t="str">
        <f t="shared" si="27"/>
        <v>-0.270598050073082+0.270598050073114i</v>
      </c>
      <c r="AD22" t="str">
        <f t="shared" si="28"/>
        <v>0.212607523691778-0.513279967159351i</v>
      </c>
      <c r="AE22" t="str">
        <f t="shared" si="29"/>
        <v>4.60850502551897E-14+0.707106781186547i</v>
      </c>
      <c r="AF22" t="str">
        <f t="shared" si="30"/>
        <v>-0.318189645143255-0.768177756711397i</v>
      </c>
      <c r="AG22" t="str">
        <f t="shared" si="31"/>
        <v>0.653281482438234+0.653281482438142i</v>
      </c>
      <c r="AH22" t="str">
        <f t="shared" si="32"/>
        <v>-0.906127446352917-0.375330277517794i</v>
      </c>
      <c r="AI22" t="str">
        <f t="shared" si="33"/>
        <v>-7.54951656745106E-15+3.79696274421804E-14i</v>
      </c>
      <c r="AJ22" s="4">
        <f t="shared" si="34"/>
        <v>-7.5495165674510597E-15</v>
      </c>
      <c r="AK22" s="4">
        <f t="shared" si="35"/>
        <v>3.7969627442180398E-14</v>
      </c>
      <c r="AL22">
        <f t="shared" si="36"/>
        <v>3.8712889436209704E-14</v>
      </c>
    </row>
    <row r="23" spans="1:38" x14ac:dyDescent="0.25">
      <c r="A23" s="2">
        <v>19</v>
      </c>
      <c r="B23" t="str">
        <f t="shared" si="0"/>
        <v>-0.831469612302545+0.555570233019603i</v>
      </c>
      <c r="C23" t="str">
        <f t="shared" si="1"/>
        <v>1</v>
      </c>
      <c r="D23" t="str">
        <f t="shared" si="2"/>
        <v>-0.815493156848917+0.544895106775819i</v>
      </c>
      <c r="E23" t="str">
        <f t="shared" si="3"/>
        <v>0.353553390593273-0.853553390593275i</v>
      </c>
      <c r="F23" t="str">
        <f t="shared" si="4"/>
        <v>0.162211674410731+0.815493156848918i</v>
      </c>
      <c r="G23" t="str">
        <f t="shared" si="5"/>
        <v>-0.500000000000002-0.499999999999999i</v>
      </c>
      <c r="H23" t="str">
        <f t="shared" si="6"/>
        <v>0.54489510677582+0.108386375662367i</v>
      </c>
      <c r="I23" t="str">
        <f t="shared" si="7"/>
        <v>-0.353553390593274+0.146446609406728i</v>
      </c>
      <c r="J23" t="str">
        <f t="shared" si="8"/>
        <v>0.108386375662369-0.16221167441073i</v>
      </c>
      <c r="K23" t="str">
        <f t="shared" si="9"/>
        <v>3.75227259511999E-31+6.1257422745431E-17i</v>
      </c>
      <c r="L23" t="str">
        <f t="shared" si="10"/>
        <v>0.108386375662371+0.162211674410728i</v>
      </c>
      <c r="M23" t="str">
        <f t="shared" si="11"/>
        <v>-0.353553390593276-0.146446609406723i</v>
      </c>
      <c r="N23" t="str">
        <f t="shared" si="12"/>
        <v>0.544895106775819-0.108386375662374i</v>
      </c>
      <c r="O23" t="str">
        <f t="shared" si="13"/>
        <v>-0.499999999999997+0.500000000000006i</v>
      </c>
      <c r="P23" t="str">
        <f t="shared" si="14"/>
        <v>0.162211674410724-0.815493156848921i</v>
      </c>
      <c r="Q23" t="str">
        <f t="shared" si="15"/>
        <v>0.353553390593282+0.853553390593273i</v>
      </c>
      <c r="R23" t="str">
        <f t="shared" si="16"/>
        <v>-0.815493156848926-0.544895106775812i</v>
      </c>
      <c r="S23" t="str">
        <f t="shared" si="17"/>
        <v>1-1.22508340277828E-14i</v>
      </c>
      <c r="T23" t="str">
        <f t="shared" si="18"/>
        <v>-0.815493156848913+0.544895106775832i</v>
      </c>
      <c r="U23" t="str">
        <f t="shared" si="19"/>
        <v>0.353553390593262-0.853553390593282i</v>
      </c>
      <c r="V23" t="str">
        <f t="shared" si="20"/>
        <v>0.162211674410744+0.815493156848918i</v>
      </c>
      <c r="W23" t="str">
        <f t="shared" si="21"/>
        <v>-0.500000000000012-0.499999999999993i</v>
      </c>
      <c r="X23" t="str">
        <f t="shared" si="22"/>
        <v>0.544895106775823+0.108386375662363i</v>
      </c>
      <c r="Y23" t="str">
        <f t="shared" si="23"/>
        <v>-0.353553390593274+0.146446609406733i</v>
      </c>
      <c r="Z23" t="str">
        <f t="shared" si="24"/>
        <v>0.108386375662368-0.162211674410732i</v>
      </c>
      <c r="AA23" t="str">
        <f t="shared" si="25"/>
        <v>3.37704533560801E-30+1.83772268236295E-16i</v>
      </c>
      <c r="AB23" t="str">
        <f t="shared" si="26"/>
        <v>0.108386375662373+0.162211674410727i</v>
      </c>
      <c r="AC23" t="str">
        <f t="shared" si="27"/>
        <v>-0.353553390593278-0.146446609406722i</v>
      </c>
      <c r="AD23" t="str">
        <f t="shared" si="28"/>
        <v>0.54489510677582-0.108386375662379i</v>
      </c>
      <c r="AE23" t="str">
        <f t="shared" si="29"/>
        <v>-0.499999999999994+0.500000000000012i</v>
      </c>
      <c r="AF23" t="str">
        <f t="shared" si="30"/>
        <v>0.162211674410714-0.815493156848925i</v>
      </c>
      <c r="AG23" t="str">
        <f t="shared" si="31"/>
        <v>0.353553390593294+0.853553390593272i</v>
      </c>
      <c r="AH23" t="str">
        <f t="shared" si="32"/>
        <v>-0.815493156848935-0.544895106775804i</v>
      </c>
      <c r="AI23" t="str">
        <f t="shared" si="33"/>
        <v>-1.06581410364015E-14+1.31006316905768E-14i</v>
      </c>
      <c r="AJ23" s="4">
        <f t="shared" si="34"/>
        <v>-1.06581410364015E-14</v>
      </c>
      <c r="AK23" s="4">
        <f t="shared" si="35"/>
        <v>1.31006316905768E-14</v>
      </c>
      <c r="AL23">
        <f t="shared" si="36"/>
        <v>1.6888532234743514E-14</v>
      </c>
    </row>
    <row r="24" spans="1:38" x14ac:dyDescent="0.25">
      <c r="A24" s="2">
        <v>20</v>
      </c>
      <c r="B24" t="str">
        <f t="shared" si="0"/>
        <v>-0.707106781186549+0.707106781186546i</v>
      </c>
      <c r="C24" t="str">
        <f t="shared" si="1"/>
        <v>1</v>
      </c>
      <c r="D24" t="str">
        <f t="shared" si="2"/>
        <v>-0.693519922661075+0.693519922661072i</v>
      </c>
      <c r="E24" t="str">
        <f t="shared" si="3"/>
        <v>3.93306587862914E-15-0.923879532511287i</v>
      </c>
      <c r="F24" t="str">
        <f t="shared" si="4"/>
        <v>0.587937801209676+0.587937801209683i</v>
      </c>
      <c r="G24" t="str">
        <f t="shared" si="5"/>
        <v>-0.707106781186548-6.02047660060727E-15i</v>
      </c>
      <c r="H24" t="str">
        <f t="shared" si="6"/>
        <v>0.392847479193555-0.392847479193547i</v>
      </c>
      <c r="I24" t="str">
        <f t="shared" si="7"/>
        <v>-4.5474965197017E-15+0.38268343236509i</v>
      </c>
      <c r="J24" t="str">
        <f t="shared" si="8"/>
        <v>-0.13794968964147-0.137949689641474i</v>
      </c>
      <c r="K24" t="str">
        <f t="shared" si="9"/>
        <v>6.1257422745431E-17+1.04312075648184E-30i</v>
      </c>
      <c r="L24" t="str">
        <f t="shared" si="10"/>
        <v>0.137949689641474-0.137949689641469i</v>
      </c>
      <c r="M24" t="str">
        <f t="shared" si="11"/>
        <v>-8.48553730937866E-15+0.38268343236509i</v>
      </c>
      <c r="N24" t="str">
        <f t="shared" si="12"/>
        <v>-0.392847479193541-0.392847479193561i</v>
      </c>
      <c r="O24" t="str">
        <f t="shared" si="13"/>
        <v>0.707106781186547+1.68053558348748E-14i</v>
      </c>
      <c r="P24" t="str">
        <f t="shared" si="14"/>
        <v>-0.587937801209695+0.587937801209664i</v>
      </c>
      <c r="Q24" t="str">
        <f t="shared" si="15"/>
        <v>2.67108912872248E-14-0.923879532511287i</v>
      </c>
      <c r="R24" t="str">
        <f t="shared" si="16"/>
        <v>0.69351992266105+0.693519922661098i</v>
      </c>
      <c r="S24" t="str">
        <f t="shared" si="17"/>
        <v>-1-3.40569586421147E-14i</v>
      </c>
      <c r="T24" t="str">
        <f t="shared" si="18"/>
        <v>0.693519922661097-0.693519922661051i</v>
      </c>
      <c r="U24" t="str">
        <f t="shared" si="19"/>
        <v>-3.62181627708414E-14+0.923879532511287i</v>
      </c>
      <c r="V24" t="str">
        <f t="shared" si="20"/>
        <v>-0.587937801209657-0.587937801209702i</v>
      </c>
      <c r="W24" t="str">
        <f t="shared" si="21"/>
        <v>0.707106781186548+3.13584569699834E-14i</v>
      </c>
      <c r="X24" t="str">
        <f t="shared" si="22"/>
        <v>-0.392847479193568+0.392847479193534i</v>
      </c>
      <c r="Y24" t="str">
        <f t="shared" si="23"/>
        <v>1.89400950135958E-14-0.38268343236509i</v>
      </c>
      <c r="Z24" t="str">
        <f t="shared" si="24"/>
        <v>0.137949689641465+0.137949689641479i</v>
      </c>
      <c r="AA24" t="str">
        <f t="shared" si="25"/>
        <v>-1.83772268236293E-16-8.73519655718928E-30i</v>
      </c>
      <c r="AB24" t="str">
        <f t="shared" si="26"/>
        <v>-0.137949689641478+0.137949689641464i</v>
      </c>
      <c r="AC24" t="str">
        <f t="shared" si="27"/>
        <v>2.01590064736452E-14-0.382683432365089i</v>
      </c>
      <c r="AD24" t="str">
        <f t="shared" si="28"/>
        <v>0.392847479193528+0.392847479193574i</v>
      </c>
      <c r="AE24" t="str">
        <f t="shared" si="29"/>
        <v>-0.707106781186547-4.08872622373038E-14i</v>
      </c>
      <c r="AF24" t="str">
        <f t="shared" si="30"/>
        <v>0.587937801209717-0.587937801209641i</v>
      </c>
      <c r="AG24" t="str">
        <f t="shared" si="31"/>
        <v>-6.47399772216913E-14+0.923879532511287i</v>
      </c>
      <c r="AH24" t="str">
        <f t="shared" si="32"/>
        <v>-0.693519922661031-0.693519922661116i</v>
      </c>
      <c r="AI24" t="str">
        <f t="shared" si="33"/>
        <v>2.44249065417534E-15-2.48689957516035E-14i</v>
      </c>
      <c r="AJ24" s="4">
        <f t="shared" si="34"/>
        <v>2.4424906541753401E-15</v>
      </c>
      <c r="AK24" s="4">
        <f t="shared" si="35"/>
        <v>-2.48689957516035E-14</v>
      </c>
      <c r="AL24">
        <f t="shared" si="36"/>
        <v>2.4988651630070134E-14</v>
      </c>
    </row>
    <row r="25" spans="1:38" x14ac:dyDescent="0.25">
      <c r="A25" s="2">
        <v>21</v>
      </c>
      <c r="B25" t="str">
        <f t="shared" si="0"/>
        <v>-0.555570233019605+0.831469612302543i</v>
      </c>
      <c r="C25" t="str">
        <f t="shared" si="1"/>
        <v>1</v>
      </c>
      <c r="D25" t="str">
        <f t="shared" si="2"/>
        <v>-0.544895106775821+0.815493156848915i</v>
      </c>
      <c r="E25" t="str">
        <f t="shared" si="3"/>
        <v>-0.353553390593268-0.853553390593276i</v>
      </c>
      <c r="F25" t="str">
        <f t="shared" si="4"/>
        <v>0.815493156848915+0.162211674410737i</v>
      </c>
      <c r="G25" t="str">
        <f t="shared" si="5"/>
        <v>-0.500000000000006+0.499999999999993i</v>
      </c>
      <c r="H25" t="str">
        <f t="shared" si="6"/>
        <v>-0.108386375662361-0.54489510677582i</v>
      </c>
      <c r="I25" t="str">
        <f t="shared" si="7"/>
        <v>0.35355339059327+0.146446609406733i</v>
      </c>
      <c r="J25" t="str">
        <f t="shared" si="8"/>
        <v>-0.162211674410731+0.108386375662366i</v>
      </c>
      <c r="K25" t="str">
        <f t="shared" si="9"/>
        <v>1.59094843761264E-30-6.12574227454308E-17i</v>
      </c>
      <c r="L25" t="str">
        <f t="shared" si="10"/>
        <v>-0.162211674410725-0.108386375662374i</v>
      </c>
      <c r="M25" t="str">
        <f t="shared" si="11"/>
        <v>0.353553390593277-0.146446609406714i</v>
      </c>
      <c r="N25" t="str">
        <f t="shared" si="12"/>
        <v>-0.108386375662389+0.544895106775813i</v>
      </c>
      <c r="O25" t="str">
        <f t="shared" si="13"/>
        <v>-0.499999999999978-0.500000000000017i</v>
      </c>
      <c r="P25" t="str">
        <f t="shared" si="14"/>
        <v>0.81549315684892-0.162211674410694i</v>
      </c>
      <c r="Q25" t="str">
        <f t="shared" si="15"/>
        <v>-0.353553390593311+0.853553390593254i</v>
      </c>
      <c r="R25" t="str">
        <f t="shared" si="16"/>
        <v>-0.544895106775773-0.815493156848941i</v>
      </c>
      <c r="S25" t="str">
        <f t="shared" si="17"/>
        <v>0.999999999999995+5.19430418816078E-14i</v>
      </c>
      <c r="T25" t="str">
        <f t="shared" si="18"/>
        <v>-0.544895106775858+0.815493156848885i</v>
      </c>
      <c r="U25" t="str">
        <f t="shared" si="19"/>
        <v>-0.353553390593221-0.85355339059329i</v>
      </c>
      <c r="V25" t="str">
        <f t="shared" si="20"/>
        <v>0.815493156848902+0.162211674410781i</v>
      </c>
      <c r="W25" t="str">
        <f t="shared" si="21"/>
        <v>-0.50000000000003+0.499999999999965i</v>
      </c>
      <c r="X25" t="str">
        <f t="shared" si="22"/>
        <v>-0.108386375662334-0.544895106775822i</v>
      </c>
      <c r="Y25" t="str">
        <f t="shared" si="23"/>
        <v>0.353553390593261+0.146446609406751i</v>
      </c>
      <c r="Z25" t="str">
        <f t="shared" si="24"/>
        <v>-0.162211674410736+0.108386375662356i</v>
      </c>
      <c r="AA25" t="str">
        <f t="shared" si="25"/>
        <v>1.43185359385137E-29-1.83772268236292E-16i</v>
      </c>
      <c r="AB25" t="str">
        <f t="shared" si="26"/>
        <v>-0.162211674410718-0.108386375662381i</v>
      </c>
      <c r="AC25" t="str">
        <f t="shared" si="27"/>
        <v>0.353553390593283-0.146446609406695i</v>
      </c>
      <c r="AD25" t="str">
        <f t="shared" si="28"/>
        <v>-0.108386375662418+0.544895106775804i</v>
      </c>
      <c r="AE25" t="str">
        <f t="shared" si="29"/>
        <v>-0.49999999999995-0.500000000000041i</v>
      </c>
      <c r="AF25" t="str">
        <f t="shared" si="30"/>
        <v>0.815493156848924-0.162211674410654i</v>
      </c>
      <c r="AG25" t="str">
        <f t="shared" si="31"/>
        <v>-0.353553390593359+0.853553390593229i</v>
      </c>
      <c r="AH25" t="str">
        <f t="shared" si="32"/>
        <v>-0.544895106775728-0.815493156848966i</v>
      </c>
      <c r="AI25" t="str">
        <f t="shared" si="33"/>
        <v>3.2085445411667E-14-5.10702591327572E-14i</v>
      </c>
      <c r="AJ25" s="4">
        <f t="shared" si="34"/>
        <v>3.2085445411666999E-14</v>
      </c>
      <c r="AK25" s="4">
        <f t="shared" si="35"/>
        <v>-5.1070259132757201E-14</v>
      </c>
      <c r="AL25">
        <f t="shared" si="36"/>
        <v>6.0312910517997995E-14</v>
      </c>
    </row>
    <row r="26" spans="1:38" x14ac:dyDescent="0.25">
      <c r="A26" s="2">
        <v>22</v>
      </c>
      <c r="B26" t="str">
        <f t="shared" si="0"/>
        <v>-0.382683432365085+0.923879532511289i</v>
      </c>
      <c r="C26" t="str">
        <f t="shared" si="1"/>
        <v>1</v>
      </c>
      <c r="D26" t="str">
        <f t="shared" si="2"/>
        <v>-0.375330277517861+0.90612744635289i</v>
      </c>
      <c r="E26" t="str">
        <f t="shared" si="3"/>
        <v>-0.653281482438195-0.653281482438181i</v>
      </c>
      <c r="F26" t="str">
        <f t="shared" si="4"/>
        <v>0.768177756711412-0.318189645143221i</v>
      </c>
      <c r="G26" t="str">
        <f t="shared" si="5"/>
        <v>1.52894652984708E-14+0.707106781186548i</v>
      </c>
      <c r="H26" t="str">
        <f t="shared" si="6"/>
        <v>-0.513279967159343-0.212607523691801i</v>
      </c>
      <c r="I26" t="str">
        <f t="shared" si="7"/>
        <v>0.27059805007309-0.270598050073108i</v>
      </c>
      <c r="J26" t="str">
        <f t="shared" si="8"/>
        <v>0.0746578340503497+0.180239955501735i</v>
      </c>
      <c r="K26" t="str">
        <f t="shared" si="9"/>
        <v>-6.1257422745431E-17+2.64908572300322E-30i</v>
      </c>
      <c r="L26" t="str">
        <f t="shared" si="10"/>
        <v>-0.0746578340503336+0.180239955501741i</v>
      </c>
      <c r="M26" t="str">
        <f t="shared" si="11"/>
        <v>-0.270598050073113-0.270598050073084i</v>
      </c>
      <c r="N26" t="str">
        <f t="shared" si="12"/>
        <v>0.513279967159325-0.212607523691845i</v>
      </c>
      <c r="O26" t="str">
        <f t="shared" si="13"/>
        <v>4.71244698623594E-14+0.707106781186547i</v>
      </c>
      <c r="P26" t="str">
        <f t="shared" si="14"/>
        <v>-0.768177756711441-0.318189645143155i</v>
      </c>
      <c r="Q26" t="str">
        <f t="shared" si="15"/>
        <v>0.653281482438141-0.65328148243824i</v>
      </c>
      <c r="R26" t="str">
        <f t="shared" si="16"/>
        <v>0.375330277517939+0.906127446352861i</v>
      </c>
      <c r="S26" t="str">
        <f t="shared" si="17"/>
        <v>-1+8.64902767461209E-14i</v>
      </c>
      <c r="T26" t="str">
        <f t="shared" si="18"/>
        <v>0.375330277517782-0.906127446352926i</v>
      </c>
      <c r="U26" t="str">
        <f t="shared" si="19"/>
        <v>0.653281482438256+0.653281482438126i</v>
      </c>
      <c r="V26" t="str">
        <f t="shared" si="20"/>
        <v>-0.768177756711388+0.318189645143286i</v>
      </c>
      <c r="W26" t="str">
        <f t="shared" si="21"/>
        <v>-7.51912525254072E-14-0.707106781186548i</v>
      </c>
      <c r="X26" t="str">
        <f t="shared" si="22"/>
        <v>0.513279967159363+0.212607523691757i</v>
      </c>
      <c r="Y26" t="str">
        <f t="shared" si="23"/>
        <v>-0.270598050073068+0.270598050073133i</v>
      </c>
      <c r="Z26" t="str">
        <f t="shared" si="24"/>
        <v>-0.074657834050366-0.180239955501729i</v>
      </c>
      <c r="AA26" t="str">
        <f t="shared" si="25"/>
        <v>1.83772268236295E-16-2.44946617581763E-29i</v>
      </c>
      <c r="AB26" t="str">
        <f t="shared" si="26"/>
        <v>0.0746578340503187-0.180239955501747i</v>
      </c>
      <c r="AC26" t="str">
        <f t="shared" si="27"/>
        <v>0.270598050073137+0.270598050073062i</v>
      </c>
      <c r="AD26" t="str">
        <f t="shared" si="28"/>
        <v>-0.513279967159308+0.21260752369189i</v>
      </c>
      <c r="AE26" t="str">
        <f t="shared" si="29"/>
        <v>-1.08282331056243E-13-0.707106781186554i</v>
      </c>
      <c r="AF26" t="str">
        <f t="shared" si="30"/>
        <v>0.768177756711472+0.318189645143088i</v>
      </c>
      <c r="AG26" t="str">
        <f t="shared" si="31"/>
        <v>-0.653281482438088+0.653281482438297i</v>
      </c>
      <c r="AH26" t="str">
        <f t="shared" si="32"/>
        <v>-0.375330277518018-0.906127446352831i</v>
      </c>
      <c r="AI26" t="str">
        <f t="shared" si="33"/>
        <v>-5.82311976415895E-14+7.73825448163734E-14i</v>
      </c>
      <c r="AJ26" s="4">
        <f t="shared" si="34"/>
        <v>-5.8231197641589498E-14</v>
      </c>
      <c r="AK26" s="4">
        <f t="shared" si="35"/>
        <v>7.7382544816373398E-14</v>
      </c>
      <c r="AL26">
        <f t="shared" si="36"/>
        <v>9.6844879167831564E-14</v>
      </c>
    </row>
    <row r="27" spans="1:38" x14ac:dyDescent="0.25">
      <c r="A27" s="2">
        <v>23</v>
      </c>
      <c r="B27" t="str">
        <f t="shared" si="0"/>
        <v>-0.195090322016126+0.980785280403231i</v>
      </c>
      <c r="C27" t="str">
        <f t="shared" si="1"/>
        <v>1</v>
      </c>
      <c r="D27" t="str">
        <f t="shared" si="2"/>
        <v>-0.191341716182543+0.961939766255644i</v>
      </c>
      <c r="E27" t="str">
        <f t="shared" si="3"/>
        <v>-0.853553390593276-0.353553390593269i</v>
      </c>
      <c r="F27" t="str">
        <f t="shared" si="4"/>
        <v>0.461939766255638-0.691341716182548i</v>
      </c>
      <c r="G27" t="str">
        <f t="shared" si="5"/>
        <v>0.500000000000005+0.499999999999995i</v>
      </c>
      <c r="H27" t="str">
        <f t="shared" si="6"/>
        <v>-0.46193976625564+0.308658283817461i</v>
      </c>
      <c r="I27" t="str">
        <f t="shared" si="7"/>
        <v>-0.146446609406732-0.353553390593272i</v>
      </c>
      <c r="J27" t="str">
        <f t="shared" si="8"/>
        <v>0.191341716182544-0.0380602337443601i</v>
      </c>
      <c r="K27" t="str">
        <f t="shared" si="9"/>
        <v>1.23073770700938E-30+6.1257422745431E-17i</v>
      </c>
      <c r="L27" t="str">
        <f t="shared" si="10"/>
        <v>0.191341716182546+0.0380602337443523i</v>
      </c>
      <c r="M27" t="str">
        <f t="shared" si="11"/>
        <v>-0.146446609406717+0.353553390593277i</v>
      </c>
      <c r="N27" t="str">
        <f t="shared" si="12"/>
        <v>-0.461939766255652-0.308658283817442i</v>
      </c>
      <c r="O27" t="str">
        <f t="shared" si="13"/>
        <v>0.499999999999985-0.500000000000015i</v>
      </c>
      <c r="P27" t="str">
        <f t="shared" si="14"/>
        <v>0.461939766255666+0.69134171618253i</v>
      </c>
      <c r="Q27" t="str">
        <f t="shared" si="15"/>
        <v>-0.853553390593261+0.353553390593303i</v>
      </c>
      <c r="R27" t="str">
        <f t="shared" si="16"/>
        <v>-0.191341716182581-0.961939766255636i</v>
      </c>
      <c r="S27" t="str">
        <f t="shared" si="17"/>
        <v>1-4.01824840762233E-14i</v>
      </c>
      <c r="T27" t="str">
        <f t="shared" si="18"/>
        <v>-0.191341716182503+0.961939766255652i</v>
      </c>
      <c r="U27" t="str">
        <f t="shared" si="19"/>
        <v>-0.85355339059329-0.353553390593235i</v>
      </c>
      <c r="V27" t="str">
        <f t="shared" si="20"/>
        <v>0.461939766255608-0.691341716182569i</v>
      </c>
      <c r="W27" t="str">
        <f t="shared" si="21"/>
        <v>0.500000000000025+0.499999999999975i</v>
      </c>
      <c r="X27" t="str">
        <f t="shared" si="22"/>
        <v>-0.461939766255628+0.308658283817478i</v>
      </c>
      <c r="Y27" t="str">
        <f t="shared" si="23"/>
        <v>-0.146446609406746-0.353553390593266i</v>
      </c>
      <c r="Z27" t="str">
        <f t="shared" si="24"/>
        <v>0.191341716182543-0.0380602337443684i</v>
      </c>
      <c r="AA27" t="str">
        <f t="shared" si="25"/>
        <v>1.10766393630844E-29+1.83772268236293E-16i</v>
      </c>
      <c r="AB27" t="str">
        <f t="shared" si="26"/>
        <v>0.191341716182546+0.0380602337443451i</v>
      </c>
      <c r="AC27" t="str">
        <f t="shared" si="27"/>
        <v>-0.146446609406703+0.353553390593283i</v>
      </c>
      <c r="AD27" t="str">
        <f t="shared" si="28"/>
        <v>-0.461939766255665-0.308658283817422i</v>
      </c>
      <c r="AE27" t="str">
        <f t="shared" si="29"/>
        <v>0.499999999999965-0.500000000000035i</v>
      </c>
      <c r="AF27" t="str">
        <f t="shared" si="30"/>
        <v>0.461939766255691+0.691341716182513i</v>
      </c>
      <c r="AG27" t="str">
        <f t="shared" si="31"/>
        <v>-0.853553390593247+0.353553390593338i</v>
      </c>
      <c r="AH27" t="str">
        <f t="shared" si="32"/>
        <v>-0.191341716182623-0.961939766255628i</v>
      </c>
      <c r="AI27" t="str">
        <f t="shared" si="33"/>
        <v>-4.49917880729345E-14+4.10782519111308E-14i</v>
      </c>
      <c r="AJ27" s="4">
        <f t="shared" si="34"/>
        <v>-4.49917880729345E-14</v>
      </c>
      <c r="AK27" s="4">
        <f t="shared" si="35"/>
        <v>4.1078251911130798E-14</v>
      </c>
      <c r="AL27">
        <f t="shared" si="36"/>
        <v>6.092358963549482E-14</v>
      </c>
    </row>
    <row r="28" spans="1:38" x14ac:dyDescent="0.25">
      <c r="A28" s="2">
        <v>24</v>
      </c>
      <c r="B28" t="str">
        <f t="shared" si="0"/>
        <v>-1.83772268236293E-16+i</v>
      </c>
      <c r="C28" t="str">
        <f t="shared" si="1"/>
        <v>1</v>
      </c>
      <c r="D28" t="str">
        <f t="shared" si="2"/>
        <v>-1.57697701559264E-16+0.98078528040323i</v>
      </c>
      <c r="E28" t="str">
        <f t="shared" si="3"/>
        <v>-0.923879532511287-2.97095973411793E-16i</v>
      </c>
      <c r="F28" t="str">
        <f t="shared" si="4"/>
        <v>5.8569230966116E-16-0.831469612302545i</v>
      </c>
      <c r="G28" t="str">
        <f t="shared" si="5"/>
        <v>0.707106781186548+4.54774827388289E-16i</v>
      </c>
      <c r="H28" t="str">
        <f t="shared" si="6"/>
        <v>-3.23281488451484E-16+0.555570233019602i</v>
      </c>
      <c r="I28" t="str">
        <f t="shared" si="7"/>
        <v>-0.38268343236509-5.39129127642524E-16i</v>
      </c>
      <c r="J28" t="str">
        <f t="shared" si="8"/>
        <v>2.62894915509156E-16-0.195090322016128i</v>
      </c>
      <c r="K28" t="str">
        <f t="shared" si="9"/>
        <v>6.1257422745431E-17+7.87952671265791E-32i</v>
      </c>
      <c r="L28" t="str">
        <f t="shared" si="10"/>
        <v>2.38993454850588E-16-0.195090322016128i</v>
      </c>
      <c r="M28" t="str">
        <f t="shared" si="11"/>
        <v>0.38268343236509+4.45360324466281E-16i</v>
      </c>
      <c r="N28" t="str">
        <f t="shared" si="12"/>
        <v>-6.12530176274108E-16+0.555570233019602i</v>
      </c>
      <c r="O28" t="str">
        <f t="shared" si="13"/>
        <v>-0.707106781186547-1.99236146563838E-15i</v>
      </c>
      <c r="P28" t="str">
        <f t="shared" si="14"/>
        <v>8.14848820536744E-16-0.831469612302545i</v>
      </c>
      <c r="Q28" t="str">
        <f t="shared" si="15"/>
        <v>0.923879532511287+2.48995674547213E-15i</v>
      </c>
      <c r="R28" t="str">
        <f t="shared" si="16"/>
        <v>-8.41018962665019E-16+0.98078528040323i</v>
      </c>
      <c r="S28" t="str">
        <f t="shared" si="17"/>
        <v>-1-2.5725949148736E-15i</v>
      </c>
      <c r="T28" t="str">
        <f t="shared" si="18"/>
        <v>4.20530748723144E-15-0.98078528040323i</v>
      </c>
      <c r="U28" t="str">
        <f t="shared" si="19"/>
        <v>0.923879532511287+2.26357882911655E-15i</v>
      </c>
      <c r="V28" t="str">
        <f t="shared" si="20"/>
        <v>-3.46322017242617E-15+0.831469612302545i</v>
      </c>
      <c r="W28" t="str">
        <f t="shared" si="21"/>
        <v>-0.707106781186548-1.64583715346793E-15i</v>
      </c>
      <c r="X28" t="str">
        <f t="shared" si="22"/>
        <v>2.72202169985514E-16-0.555570233019602i</v>
      </c>
      <c r="Y28" t="str">
        <f t="shared" si="23"/>
        <v>0.38268343236509+8.43836247344444E-16i</v>
      </c>
      <c r="Z28" t="str">
        <f t="shared" si="24"/>
        <v>-7.64783285868905E-16+0.195090322016129i</v>
      </c>
      <c r="AA28" t="str">
        <f t="shared" si="25"/>
        <v>-1.83772268236293E-16-1.03560252971285E-30i</v>
      </c>
      <c r="AB28" t="str">
        <f t="shared" si="26"/>
        <v>-1.43398188083862E-15+0.195090322016127i</v>
      </c>
      <c r="AC28" t="str">
        <f t="shared" si="27"/>
        <v>-0.382683432365089-7.50067444168196E-16i</v>
      </c>
      <c r="AD28" t="str">
        <f t="shared" si="28"/>
        <v>2.04178733259548E-15-0.555570233019602i</v>
      </c>
      <c r="AE28" t="str">
        <f t="shared" si="29"/>
        <v>0.707106781186547+3.81146077519153E-15i</v>
      </c>
      <c r="AF28" t="str">
        <f t="shared" si="30"/>
        <v>-5.9078567821524E-15+0.831469612302545i</v>
      </c>
      <c r="AG28" t="str">
        <f t="shared" si="31"/>
        <v>-0.923879532511287-1.58444508004981E-15i</v>
      </c>
      <c r="AH28" t="str">
        <f t="shared" si="32"/>
        <v>3.36418218761325E-15-0.98078528040323i</v>
      </c>
      <c r="AI28" t="str">
        <f t="shared" si="33"/>
        <v>-9.65687608424861E-16+6.66133814775094E-16i</v>
      </c>
      <c r="AJ28" s="4">
        <f t="shared" si="34"/>
        <v>-9.6568760842486107E-16</v>
      </c>
      <c r="AK28" s="4">
        <f t="shared" si="35"/>
        <v>6.6613381477509402E-16</v>
      </c>
      <c r="AL28">
        <f t="shared" si="36"/>
        <v>1.1731525119319086E-15</v>
      </c>
    </row>
    <row r="29" spans="1:38" x14ac:dyDescent="0.25">
      <c r="A29" s="2">
        <v>25</v>
      </c>
      <c r="B29" t="str">
        <f t="shared" si="0"/>
        <v>0.195090322016127+0.980785280403231i</v>
      </c>
      <c r="C29" t="str">
        <f t="shared" si="1"/>
        <v>1</v>
      </c>
      <c r="D29" t="str">
        <f t="shared" si="2"/>
        <v>0.191341716182544+0.961939766255644i</v>
      </c>
      <c r="E29" t="str">
        <f t="shared" si="3"/>
        <v>-0.853553390593276+0.353553390593272i</v>
      </c>
      <c r="F29" t="str">
        <f t="shared" si="4"/>
        <v>-0.461939766255641-0.691341716182547i</v>
      </c>
      <c r="G29" t="str">
        <f t="shared" si="5"/>
        <v>0.500000000000003-0.499999999999998i</v>
      </c>
      <c r="H29" t="str">
        <f t="shared" si="6"/>
        <v>0.461939766255642+0.308658283817459i</v>
      </c>
      <c r="I29" t="str">
        <f t="shared" si="7"/>
        <v>-0.146446609406729+0.353553390593274i</v>
      </c>
      <c r="J29" t="str">
        <f t="shared" si="8"/>
        <v>-0.191341716182545-0.0380602337443585i</v>
      </c>
      <c r="K29" t="str">
        <f t="shared" si="9"/>
        <v>6.26622948257387E-31-6.1257422745431E-17i</v>
      </c>
      <c r="L29" t="str">
        <f t="shared" si="10"/>
        <v>-0.191341716182546+0.0380602337443546i</v>
      </c>
      <c r="M29" t="str">
        <f t="shared" si="11"/>
        <v>-0.146446609406722-0.353553390593277i</v>
      </c>
      <c r="N29" t="str">
        <f t="shared" si="12"/>
        <v>0.46193976625565-0.30865828381745i</v>
      </c>
      <c r="O29" t="str">
        <f t="shared" si="13"/>
        <v>0.499999999999995+0.50000000000001i</v>
      </c>
      <c r="P29" t="str">
        <f t="shared" si="14"/>
        <v>-0.461939766255657+0.691341716182541i</v>
      </c>
      <c r="Q29" t="str">
        <f t="shared" si="15"/>
        <v>-0.853553390593272-0.353553390593292i</v>
      </c>
      <c r="R29" t="str">
        <f t="shared" si="16"/>
        <v>0.191341716182563-0.961939766255646i</v>
      </c>
      <c r="S29" t="str">
        <f t="shared" si="17"/>
        <v>1.00000000000001+2.04586781543671E-14i</v>
      </c>
      <c r="T29" t="str">
        <f t="shared" si="18"/>
        <v>0.191341716182524+0.961939766255655i</v>
      </c>
      <c r="U29" t="str">
        <f t="shared" si="19"/>
        <v>-0.853553390593289+0.353553390593258i</v>
      </c>
      <c r="V29" t="str">
        <f t="shared" si="20"/>
        <v>-0.461939766255631-0.691341716182562i</v>
      </c>
      <c r="W29" t="str">
        <f t="shared" si="21"/>
        <v>0.500000000000018-0.499999999999991i</v>
      </c>
      <c r="X29" t="str">
        <f t="shared" si="22"/>
        <v>0.46193976625564+0.308658283817469i</v>
      </c>
      <c r="Y29" t="str">
        <f t="shared" si="23"/>
        <v>-0.146446609406738+0.353553390593274i</v>
      </c>
      <c r="Z29" t="str">
        <f t="shared" si="24"/>
        <v>-0.191341716182546-0.0380602337443629i</v>
      </c>
      <c r="AA29" t="str">
        <f t="shared" si="25"/>
        <v>5.31316140874289E-30-1.83772268236295E-16i</v>
      </c>
      <c r="AB29" t="str">
        <f t="shared" si="26"/>
        <v>-0.191341716182547+0.0380602337443509i</v>
      </c>
      <c r="AC29" t="str">
        <f t="shared" si="27"/>
        <v>-0.146446609406716-0.353553390593282i</v>
      </c>
      <c r="AD29" t="str">
        <f t="shared" si="28"/>
        <v>0.46193976625566-0.308658283817442i</v>
      </c>
      <c r="AE29" t="str">
        <f t="shared" si="29"/>
        <v>0.499999999999987+0.500000000000026i</v>
      </c>
      <c r="AF29" t="str">
        <f t="shared" si="30"/>
        <v>-0.461939766255672+0.691341716182538i</v>
      </c>
      <c r="AG29" t="str">
        <f t="shared" si="31"/>
        <v>-0.853553390593272-0.353553390593309i</v>
      </c>
      <c r="AH29" t="str">
        <f t="shared" si="32"/>
        <v>0.191341716182585-0.961939766255649i</v>
      </c>
      <c r="AI29" t="str">
        <f t="shared" si="33"/>
        <v>2.16493489801906E-14-2.06501482580279E-14i</v>
      </c>
      <c r="AJ29" s="4">
        <f t="shared" si="34"/>
        <v>2.16493489801906E-14</v>
      </c>
      <c r="AK29" s="4">
        <f t="shared" si="35"/>
        <v>-2.0650148258027899E-14</v>
      </c>
      <c r="AL29">
        <f t="shared" si="36"/>
        <v>2.9918605153726876E-14</v>
      </c>
    </row>
    <row r="30" spans="1:38" x14ac:dyDescent="0.25">
      <c r="A30" s="2">
        <v>26</v>
      </c>
      <c r="B30" t="str">
        <f t="shared" si="0"/>
        <v>0.382683432365086+0.923879532511288i</v>
      </c>
      <c r="C30" t="str">
        <f t="shared" si="1"/>
        <v>1</v>
      </c>
      <c r="D30" t="str">
        <f t="shared" si="2"/>
        <v>0.375330277517862+0.906127446352889i</v>
      </c>
      <c r="E30" t="str">
        <f t="shared" si="3"/>
        <v>-0.653281482438193+0.653281482438182i</v>
      </c>
      <c r="F30" t="str">
        <f t="shared" si="4"/>
        <v>-0.768177756711412-0.318189645143217i</v>
      </c>
      <c r="G30" t="str">
        <f t="shared" si="5"/>
        <v>1.11747190854592E-14-0.707106781186547i</v>
      </c>
      <c r="H30" t="str">
        <f t="shared" si="6"/>
        <v>0.51327996715934-0.212607523691804i</v>
      </c>
      <c r="I30" t="str">
        <f t="shared" si="7"/>
        <v>0.270598050073091+0.270598050073104i</v>
      </c>
      <c r="J30" t="str">
        <f t="shared" si="8"/>
        <v>-0.0746578340503476+0.180239955501735i</v>
      </c>
      <c r="K30" t="str">
        <f t="shared" si="9"/>
        <v>-6.12574227454308E-17-1.93615592239334E-30i</v>
      </c>
      <c r="L30" t="str">
        <f t="shared" si="10"/>
        <v>0.0746578340503362+0.180239955501739i</v>
      </c>
      <c r="M30" t="str">
        <f t="shared" si="11"/>
        <v>-0.270598050073108+0.270598050073087i</v>
      </c>
      <c r="N30" t="str">
        <f t="shared" si="12"/>
        <v>-0.513279967159325-0.212607523691836i</v>
      </c>
      <c r="O30" t="str">
        <f t="shared" si="13"/>
        <v>3.35241572563777E-14-0.707106781186545i</v>
      </c>
      <c r="P30" t="str">
        <f t="shared" si="14"/>
        <v>0.768177756711429-0.318189645143168i</v>
      </c>
      <c r="Q30" t="str">
        <f t="shared" si="15"/>
        <v>0.653281482438148+0.653281482438223i</v>
      </c>
      <c r="R30" t="str">
        <f t="shared" si="16"/>
        <v>-0.375330277517917+0.906127446352861i</v>
      </c>
      <c r="S30" t="str">
        <f t="shared" si="17"/>
        <v>-0.999999999999995-6.32137571454635E-14i</v>
      </c>
      <c r="T30" t="str">
        <f t="shared" si="18"/>
        <v>-0.375330277517803-0.906127446352908i</v>
      </c>
      <c r="U30" t="str">
        <f t="shared" si="19"/>
        <v>0.653281482438229-0.653281482438139i</v>
      </c>
      <c r="V30" t="str">
        <f t="shared" si="20"/>
        <v>0.768177756711388+0.318189645143265i</v>
      </c>
      <c r="W30" t="str">
        <f t="shared" si="21"/>
        <v>-5.5873595427296E-14+0.707106781186543i</v>
      </c>
      <c r="X30" t="str">
        <f t="shared" si="22"/>
        <v>-0.513279967159351+0.21260752369177i</v>
      </c>
      <c r="Y30" t="str">
        <f t="shared" si="23"/>
        <v>-0.270598050073073-0.270598050073121i</v>
      </c>
      <c r="Z30" t="str">
        <f t="shared" si="24"/>
        <v>0.0746578340503588-0.180239955501729i</v>
      </c>
      <c r="AA30" t="str">
        <f t="shared" si="25"/>
        <v>1.83772268236292E-16+1.742540330154E-29i</v>
      </c>
      <c r="AB30" t="str">
        <f t="shared" si="26"/>
        <v>-0.074657834050324-0.180239955501742i</v>
      </c>
      <c r="AC30" t="str">
        <f t="shared" si="27"/>
        <v>0.270598050073123-0.270598050073068i</v>
      </c>
      <c r="AD30" t="str">
        <f t="shared" si="28"/>
        <v>0.513279967159309+0.212607523691867i</v>
      </c>
      <c r="AE30" t="str">
        <f t="shared" si="29"/>
        <v>-8.0735181532108E-14+0.707106781186541i</v>
      </c>
      <c r="AF30" t="str">
        <f t="shared" si="30"/>
        <v>-0.768177756711446+0.318189645143115i</v>
      </c>
      <c r="AG30" t="str">
        <f t="shared" si="31"/>
        <v>-0.653281482438103-0.653281482438261i</v>
      </c>
      <c r="AH30" t="str">
        <f t="shared" si="32"/>
        <v>0.375330277517973-0.906127446352832i</v>
      </c>
      <c r="AI30" t="str">
        <f t="shared" si="33"/>
        <v>9.73665592596262E-14-5.90638649100583E-14i</v>
      </c>
      <c r="AJ30" s="4">
        <f t="shared" si="34"/>
        <v>9.7366559259626203E-14</v>
      </c>
      <c r="AK30" s="4">
        <f t="shared" si="35"/>
        <v>-5.9063864910058303E-14</v>
      </c>
      <c r="AL30">
        <f t="shared" si="36"/>
        <v>1.1388058219104747E-13</v>
      </c>
    </row>
    <row r="31" spans="1:38" x14ac:dyDescent="0.25">
      <c r="A31" s="2">
        <v>27</v>
      </c>
      <c r="B31" t="str">
        <f t="shared" si="0"/>
        <v>0.555570233019606+0.831469612302543i</v>
      </c>
      <c r="C31" t="str">
        <f t="shared" si="1"/>
        <v>1</v>
      </c>
      <c r="D31" t="str">
        <f t="shared" si="2"/>
        <v>0.544895106775822+0.815493156848915i</v>
      </c>
      <c r="E31" t="str">
        <f t="shared" si="3"/>
        <v>-0.353553390593267+0.853553390593278i</v>
      </c>
      <c r="F31" t="str">
        <f t="shared" si="4"/>
        <v>-0.815493156848916+0.162211674410739i</v>
      </c>
      <c r="G31" t="str">
        <f t="shared" si="5"/>
        <v>-0.50000000000001-0.499999999999992i</v>
      </c>
      <c r="H31" t="str">
        <f t="shared" si="6"/>
        <v>0.108386375662358-0.544895106775822i</v>
      </c>
      <c r="I31" t="str">
        <f t="shared" si="7"/>
        <v>0.35355339059327-0.146446609406736i</v>
      </c>
      <c r="J31" t="str">
        <f t="shared" si="8"/>
        <v>0.162211674410733+0.108386375662365i</v>
      </c>
      <c r="K31" t="str">
        <f t="shared" si="9"/>
        <v>2.1406556754357E-30+6.1257422745431E-17i</v>
      </c>
      <c r="L31" t="str">
        <f t="shared" si="10"/>
        <v>0.162211674410725-0.108386375662376i</v>
      </c>
      <c r="M31" t="str">
        <f t="shared" si="11"/>
        <v>0.353553390593281+0.146446609406711i</v>
      </c>
      <c r="N31" t="str">
        <f t="shared" si="12"/>
        <v>0.108386375662396+0.544895106775815i</v>
      </c>
      <c r="O31" t="str">
        <f t="shared" si="13"/>
        <v>-0.499999999999975+0.500000000000028i</v>
      </c>
      <c r="P31" t="str">
        <f t="shared" si="14"/>
        <v>-0.815493156848928-0.162211674410684i</v>
      </c>
      <c r="Q31" t="str">
        <f t="shared" si="15"/>
        <v>-0.353553390593328-0.853553390593255i</v>
      </c>
      <c r="R31" t="str">
        <f t="shared" si="16"/>
        <v>0.544895106775767-0.815493156848955i</v>
      </c>
      <c r="S31" t="str">
        <f t="shared" si="17"/>
        <v>1-6.98904909640643E-14i</v>
      </c>
      <c r="T31" t="str">
        <f t="shared" si="18"/>
        <v>0.544895106775882+0.81549315684888i</v>
      </c>
      <c r="U31" t="str">
        <f t="shared" si="19"/>
        <v>-0.353553390593208+0.853553390593305i</v>
      </c>
      <c r="V31" t="str">
        <f t="shared" si="20"/>
        <v>-0.815493156848908+0.162211674410796i</v>
      </c>
      <c r="W31" t="str">
        <f t="shared" si="21"/>
        <v>-0.500000000000047-0.499999999999958i</v>
      </c>
      <c r="X31" t="str">
        <f t="shared" si="22"/>
        <v>0.10838637566232-0.544895106775831i</v>
      </c>
      <c r="Y31" t="str">
        <f t="shared" si="23"/>
        <v>0.353553390593262-0.146446609406761i</v>
      </c>
      <c r="Z31" t="str">
        <f t="shared" si="24"/>
        <v>0.162211674410741+0.108386375662354i</v>
      </c>
      <c r="AA31" t="str">
        <f t="shared" si="25"/>
        <v>1.94291236417083E-29+1.83772268236295E-16i</v>
      </c>
      <c r="AB31" t="str">
        <f t="shared" si="26"/>
        <v>0.162211674410717-0.108386375662387i</v>
      </c>
      <c r="AC31" t="str">
        <f t="shared" si="27"/>
        <v>0.353553390593292+0.146446609406687i</v>
      </c>
      <c r="AD31" t="str">
        <f t="shared" si="28"/>
        <v>0.108386375662436+0.544895106775809i</v>
      </c>
      <c r="AE31" t="str">
        <f t="shared" si="29"/>
        <v>-0.499999999999941+0.500000000000065i</v>
      </c>
      <c r="AF31" t="str">
        <f t="shared" si="30"/>
        <v>-0.815493156848942-0.162211674410627i</v>
      </c>
      <c r="AG31" t="str">
        <f t="shared" si="31"/>
        <v>-0.353553390593387-0.853553390593233i</v>
      </c>
      <c r="AH31" t="str">
        <f t="shared" si="32"/>
        <v>0.544895106775712-0.815493156848997i</v>
      </c>
      <c r="AI31" t="str">
        <f t="shared" si="33"/>
        <v>-1.43107747874183E-13+6.30606677987089E-14i</v>
      </c>
      <c r="AJ31" s="4">
        <f t="shared" si="34"/>
        <v>-1.4310774787418301E-13</v>
      </c>
      <c r="AK31" s="4">
        <f t="shared" si="35"/>
        <v>6.3060667798708904E-14</v>
      </c>
      <c r="AL31">
        <f t="shared" si="36"/>
        <v>1.563856621459904E-13</v>
      </c>
    </row>
    <row r="32" spans="1:38" x14ac:dyDescent="0.25">
      <c r="A32" s="2">
        <v>28</v>
      </c>
      <c r="B32" t="str">
        <f t="shared" si="0"/>
        <v>0.707106781186549+0.707106781186546i</v>
      </c>
      <c r="C32" t="str">
        <f t="shared" si="1"/>
        <v>1</v>
      </c>
      <c r="D32" t="str">
        <f t="shared" si="2"/>
        <v>0.693519922661075+0.693519922661072i</v>
      </c>
      <c r="E32" t="str">
        <f t="shared" si="3"/>
        <v>3.95430132918993E-15+0.923879532511287i</v>
      </c>
      <c r="F32" t="str">
        <f t="shared" si="4"/>
        <v>-0.587937801209676+0.587937801209683i</v>
      </c>
      <c r="G32" t="str">
        <f t="shared" si="5"/>
        <v>-0.707106781186548+6.05298242104096E-15i</v>
      </c>
      <c r="H32" t="str">
        <f t="shared" si="6"/>
        <v>-0.392847479193555-0.392847479193547i</v>
      </c>
      <c r="I32" t="str">
        <f t="shared" si="7"/>
        <v>-4.8288029292304E-15-0.38268343236509i</v>
      </c>
      <c r="J32" t="str">
        <f t="shared" si="8"/>
        <v>0.13794968964147-0.137949689641474i</v>
      </c>
      <c r="K32" t="str">
        <f t="shared" si="9"/>
        <v>6.1257422745431E-17-1.0487527850155E-30i</v>
      </c>
      <c r="L32" t="str">
        <f t="shared" si="10"/>
        <v>-0.137949689641474-0.137949689641469i</v>
      </c>
      <c r="M32" t="str">
        <f t="shared" si="11"/>
        <v>-8.274598992853E-15-0.38268343236509i</v>
      </c>
      <c r="N32" t="str">
        <f t="shared" si="12"/>
        <v>0.392847479193541-0.392847479193561i</v>
      </c>
      <c r="O32" t="str">
        <f t="shared" si="13"/>
        <v>0.707106781186547-1.78449287713861E-14i</v>
      </c>
      <c r="P32" t="str">
        <f t="shared" si="14"/>
        <v>0.587937801209695+0.587937801209663i</v>
      </c>
      <c r="Q32" t="str">
        <f t="shared" si="15"/>
        <v>2.82955367017139E-14+0.923879532511287i</v>
      </c>
      <c r="R32" t="str">
        <f t="shared" si="16"/>
        <v>-0.693519922661052+0.693519922661096i</v>
      </c>
      <c r="S32" t="str">
        <f t="shared" si="17"/>
        <v>-1+3.42408393305682E-14i</v>
      </c>
      <c r="T32" t="str">
        <f t="shared" si="18"/>
        <v>-0.6935199226611-0.693519922661048i</v>
      </c>
      <c r="U32" t="str">
        <f t="shared" si="19"/>
        <v>-3.4973284565325E-14-0.923879532511287i</v>
      </c>
      <c r="V32" t="str">
        <f t="shared" si="20"/>
        <v>0.587937801209656-0.587937801209703i</v>
      </c>
      <c r="W32" t="str">
        <f t="shared" si="21"/>
        <v>0.707106781186548-3.05789305969415E-14i</v>
      </c>
      <c r="X32" t="str">
        <f t="shared" si="22"/>
        <v>0.392847479193569+0.392847479193533i</v>
      </c>
      <c r="Y32" t="str">
        <f t="shared" si="23"/>
        <v>1.86119871837207E-14+0.38268343236509i</v>
      </c>
      <c r="Z32" t="str">
        <f t="shared" si="24"/>
        <v>-0.137949689641465+0.137949689641478i</v>
      </c>
      <c r="AA32" t="str">
        <f t="shared" si="25"/>
        <v>-1.83772268236293E-16+9.27555250235267E-30i</v>
      </c>
      <c r="AB32" t="str">
        <f t="shared" si="26"/>
        <v>0.137949689641478+0.137949689641464i</v>
      </c>
      <c r="AC32" t="str">
        <f t="shared" si="27"/>
        <v>2.13780009149364E-14+0.382683432365089i</v>
      </c>
      <c r="AD32" t="str">
        <f t="shared" si="28"/>
        <v>-0.392847479193528+0.392847479193574i</v>
      </c>
      <c r="AE32" t="str">
        <f t="shared" si="29"/>
        <v>-0.707106781186547+4.33129324224969E-14i</v>
      </c>
      <c r="AF32" t="str">
        <f t="shared" si="30"/>
        <v>-0.587937801209714-0.587937801209644i</v>
      </c>
      <c r="AG32" t="str">
        <f t="shared" si="31"/>
        <v>-5.82888076088749E-14-0.923879532511287i</v>
      </c>
      <c r="AH32" t="str">
        <f t="shared" si="32"/>
        <v>0.693519922661028-0.693519922661119i</v>
      </c>
      <c r="AI32" t="str">
        <f t="shared" si="33"/>
        <v>-8.63753513158372E-14+3.23074900165921E-14i</v>
      </c>
      <c r="AJ32" s="4">
        <f t="shared" si="34"/>
        <v>-8.6375351315837204E-14</v>
      </c>
      <c r="AK32" s="4">
        <f t="shared" si="35"/>
        <v>3.23074900165921E-14</v>
      </c>
      <c r="AL32">
        <f t="shared" si="36"/>
        <v>9.2219711700408701E-14</v>
      </c>
    </row>
    <row r="33" spans="1:38" x14ac:dyDescent="0.25">
      <c r="A33" s="2">
        <v>29</v>
      </c>
      <c r="B33" t="str">
        <f t="shared" si="0"/>
        <v>0.831469612302545+0.555570233019602i</v>
      </c>
      <c r="C33" t="str">
        <f t="shared" si="1"/>
        <v>1</v>
      </c>
      <c r="D33" t="str">
        <f t="shared" si="2"/>
        <v>0.815493156848917+0.544895106775818i</v>
      </c>
      <c r="E33" t="str">
        <f t="shared" si="3"/>
        <v>0.353553390593274+0.853553390593273i</v>
      </c>
      <c r="F33" t="str">
        <f t="shared" si="4"/>
        <v>-0.162211674410729+0.815493156848917i</v>
      </c>
      <c r="G33" t="str">
        <f t="shared" si="5"/>
        <v>-0.499999999999999+0.5i</v>
      </c>
      <c r="H33" t="str">
        <f t="shared" si="6"/>
        <v>-0.544895106775818+0.10838637566237i</v>
      </c>
      <c r="I33" t="str">
        <f t="shared" si="7"/>
        <v>-0.353553390593273-0.146446609406726i</v>
      </c>
      <c r="J33" t="str">
        <f t="shared" si="8"/>
        <v>-0.10838637566237-0.162211674410729i</v>
      </c>
      <c r="K33" t="str">
        <f t="shared" si="9"/>
        <v>-6.56649364531769E-32-6.12574227454308E-17i</v>
      </c>
      <c r="L33" t="str">
        <f t="shared" si="10"/>
        <v>-0.108386375662369+0.162211674410729i</v>
      </c>
      <c r="M33" t="str">
        <f t="shared" si="11"/>
        <v>-0.353553390593272+0.146446609406726i</v>
      </c>
      <c r="N33" t="str">
        <f t="shared" si="12"/>
        <v>-0.544895106775816-0.108386375662368i</v>
      </c>
      <c r="O33" t="str">
        <f t="shared" si="13"/>
        <v>-0.499999999999999-0.499999999999998i</v>
      </c>
      <c r="P33" t="str">
        <f t="shared" si="14"/>
        <v>-0.162211674410729-0.815493156848913i</v>
      </c>
      <c r="Q33" t="str">
        <f t="shared" si="15"/>
        <v>0.35355339059327-0.85355339059327i</v>
      </c>
      <c r="R33" t="str">
        <f t="shared" si="16"/>
        <v>0.815493156848912-0.544895106775817i</v>
      </c>
      <c r="S33" t="str">
        <f t="shared" si="17"/>
        <v>0.999999999999995-2.14390137587283E-15i</v>
      </c>
      <c r="T33" t="str">
        <f t="shared" si="18"/>
        <v>0.815493156848914+0.544895106775813i</v>
      </c>
      <c r="U33" t="str">
        <f t="shared" si="19"/>
        <v>0.353553390593274+0.853553390593268i</v>
      </c>
      <c r="V33" t="str">
        <f t="shared" si="20"/>
        <v>-0.162211674410725+0.815493156848913i</v>
      </c>
      <c r="W33" t="str">
        <f t="shared" si="21"/>
        <v>-0.499999999999996+0.499999999999999i</v>
      </c>
      <c r="X33" t="str">
        <f t="shared" si="22"/>
        <v>-0.544895106775814+0.108386375662371i</v>
      </c>
      <c r="Y33" t="str">
        <f t="shared" si="23"/>
        <v>-0.353553390593272-0.146446609406724i</v>
      </c>
      <c r="Z33" t="str">
        <f t="shared" si="24"/>
        <v>-0.10838637566237-0.162211674410728i</v>
      </c>
      <c r="AA33" t="str">
        <f t="shared" si="25"/>
        <v>-4.27761865291769E-31-1.83772268236292E-16i</v>
      </c>
      <c r="AB33" t="str">
        <f t="shared" si="26"/>
        <v>-0.108386375662368+0.162211674410727i</v>
      </c>
      <c r="AC33" t="str">
        <f t="shared" si="27"/>
        <v>-0.35355339059327+0.146446609406726i</v>
      </c>
      <c r="AD33" t="str">
        <f t="shared" si="28"/>
        <v>-0.544895106775814-0.108386375662367i</v>
      </c>
      <c r="AE33" t="str">
        <f t="shared" si="29"/>
        <v>-0.499999999999997-0.499999999999994i</v>
      </c>
      <c r="AF33" t="str">
        <f t="shared" si="30"/>
        <v>-0.162211674410732-0.815493156848908i</v>
      </c>
      <c r="AG33" t="str">
        <f t="shared" si="31"/>
        <v>0.353553390593267-0.853553390593266i</v>
      </c>
      <c r="AH33" t="str">
        <f t="shared" si="32"/>
        <v>0.815493156848905-0.544895106775817i</v>
      </c>
      <c r="AI33" t="str">
        <f t="shared" si="33"/>
        <v>-4.44089209850063E-15+2.30926389122033E-14i</v>
      </c>
      <c r="AJ33" s="4">
        <f t="shared" si="34"/>
        <v>-4.4408920985006301E-15</v>
      </c>
      <c r="AK33" s="4">
        <f t="shared" si="35"/>
        <v>2.30926389122033E-14</v>
      </c>
      <c r="AL33">
        <f t="shared" si="36"/>
        <v>2.351577118786308E-14</v>
      </c>
    </row>
    <row r="34" spans="1:38" x14ac:dyDescent="0.25">
      <c r="A34" s="2">
        <v>30</v>
      </c>
      <c r="B34" t="str">
        <f t="shared" si="0"/>
        <v>0.923879532511286+0.382683432365092i</v>
      </c>
      <c r="C34" t="str">
        <f t="shared" si="1"/>
        <v>1</v>
      </c>
      <c r="D34" t="str">
        <f t="shared" si="2"/>
        <v>0.906127446352887+0.375330277517867i</v>
      </c>
      <c r="E34" t="str">
        <f t="shared" si="3"/>
        <v>0.653281482438185+0.653281482438192i</v>
      </c>
      <c r="F34" t="str">
        <f t="shared" si="4"/>
        <v>0.318189645143203+0.768177756711418i</v>
      </c>
      <c r="G34" t="str">
        <f t="shared" si="5"/>
        <v>-6.70808203331893E-15+0.707106781186548i</v>
      </c>
      <c r="H34" t="str">
        <f t="shared" si="6"/>
        <v>-0.21260752369182+0.513279967159334i</v>
      </c>
      <c r="I34" t="str">
        <f t="shared" si="7"/>
        <v>-0.270598050073102+0.270598050073095i</v>
      </c>
      <c r="J34" t="str">
        <f t="shared" si="8"/>
        <v>-0.180239955501738+0.0746578340503396i</v>
      </c>
      <c r="K34" t="str">
        <f t="shared" si="9"/>
        <v>-6.1257422745431E-17-1.16225675628937E-30i</v>
      </c>
      <c r="L34" t="str">
        <f t="shared" si="10"/>
        <v>0.180239955501735+0.0746578340503463i</v>
      </c>
      <c r="M34" t="str">
        <f t="shared" si="11"/>
        <v>0.270598050073092+0.270598050073105i</v>
      </c>
      <c r="N34" t="str">
        <f t="shared" si="12"/>
        <v>0.212607523691801+0.513279967159342i</v>
      </c>
      <c r="O34" t="str">
        <f t="shared" si="13"/>
        <v>-1.99672368540884E-14+0.707106781186547i</v>
      </c>
      <c r="P34" t="str">
        <f t="shared" si="14"/>
        <v>-0.318189645143232+0.768177756711406i</v>
      </c>
      <c r="Q34" t="str">
        <f t="shared" si="15"/>
        <v>-0.65328148243821+0.653281482438167i</v>
      </c>
      <c r="R34" t="str">
        <f t="shared" si="16"/>
        <v>-0.906127446352901+0.375330277517833i</v>
      </c>
      <c r="S34" t="str">
        <f t="shared" si="17"/>
        <v>-1-3.79466423561237E-14i</v>
      </c>
      <c r="T34" t="str">
        <f t="shared" si="18"/>
        <v>-0.906127446352872-0.375330277517902i</v>
      </c>
      <c r="U34" t="str">
        <f t="shared" si="19"/>
        <v>-0.653281482438161-0.653281482438216i</v>
      </c>
      <c r="V34" t="str">
        <f t="shared" si="20"/>
        <v>-0.318189645143174-0.768177756711431i</v>
      </c>
      <c r="W34" t="str">
        <f t="shared" si="21"/>
        <v>3.3697419412463E-14-0.707106781186548i</v>
      </c>
      <c r="X34" t="str">
        <f t="shared" si="22"/>
        <v>0.21260752369184-0.513279967159326i</v>
      </c>
      <c r="Y34" t="str">
        <f t="shared" si="23"/>
        <v>0.270598050073113-0.270598050073085i</v>
      </c>
      <c r="Z34" t="str">
        <f t="shared" si="24"/>
        <v>0.180239955501741-0.074657834050333i</v>
      </c>
      <c r="AA34" t="str">
        <f t="shared" si="25"/>
        <v>1.83772268236293E-16+1.03786995252109E-29i</v>
      </c>
      <c r="AB34" t="str">
        <f t="shared" si="26"/>
        <v>-0.180239955501732-0.0746578340503529i</v>
      </c>
      <c r="AC34" t="str">
        <f t="shared" si="27"/>
        <v>-0.270598050073081-0.270598050073115i</v>
      </c>
      <c r="AD34" t="str">
        <f t="shared" si="28"/>
        <v>-0.212607523691781-0.51327996715935i</v>
      </c>
      <c r="AE34" t="str">
        <f t="shared" si="29"/>
        <v>4.74276019708376E-14-0.707106781186547i</v>
      </c>
      <c r="AF34" t="str">
        <f t="shared" si="30"/>
        <v>0.318189645143262-0.768177756711394i</v>
      </c>
      <c r="AG34" t="str">
        <f t="shared" si="31"/>
        <v>0.653281482438235-0.653281482438141i</v>
      </c>
      <c r="AH34" t="str">
        <f t="shared" si="32"/>
        <v>0.906127446352915-0.375330277517799i</v>
      </c>
      <c r="AI34" t="str">
        <f t="shared" si="33"/>
        <v>2.59681165459824E-13-3.8968828164343E-14i</v>
      </c>
      <c r="AJ34" s="4">
        <f t="shared" si="34"/>
        <v>2.5968116545982401E-13</v>
      </c>
      <c r="AK34" s="4">
        <f t="shared" si="35"/>
        <v>-3.8968828164343001E-14</v>
      </c>
      <c r="AL34">
        <f t="shared" si="36"/>
        <v>2.6258879881494297E-13</v>
      </c>
    </row>
    <row r="35" spans="1:38" x14ac:dyDescent="0.25">
      <c r="A35" s="2">
        <v>31</v>
      </c>
      <c r="B35" t="str">
        <f t="shared" si="0"/>
        <v>0.98078528040323+0.195090322016132i</v>
      </c>
      <c r="C35" t="str">
        <f t="shared" si="1"/>
        <v>1</v>
      </c>
      <c r="D35" t="str">
        <f t="shared" si="2"/>
        <v>0.961939766255643+0.191341716182549i</v>
      </c>
      <c r="E35" t="str">
        <f t="shared" si="3"/>
        <v>0.853553390593271+0.35355339059328i</v>
      </c>
      <c r="F35" t="str">
        <f t="shared" si="4"/>
        <v>0.691341716182541+0.461939766255651i</v>
      </c>
      <c r="G35" t="str">
        <f t="shared" si="5"/>
        <v>0.499999999999993+0.500000000000008i</v>
      </c>
      <c r="H35" t="str">
        <f t="shared" si="6"/>
        <v>0.308658283817447+0.46193976625565i</v>
      </c>
      <c r="I35" t="str">
        <f t="shared" si="7"/>
        <v>0.146446609406719+0.353553390593278i</v>
      </c>
      <c r="J35" t="str">
        <f t="shared" si="8"/>
        <v>0.0380602337443517+0.191341716182546i</v>
      </c>
      <c r="K35" t="str">
        <f t="shared" si="9"/>
        <v>-1.83250135951029E-30+6.1257422745431E-17i</v>
      </c>
      <c r="L35" t="str">
        <f t="shared" si="10"/>
        <v>0.0380602337443632-0.191341716182544i</v>
      </c>
      <c r="M35" t="str">
        <f t="shared" si="11"/>
        <v>0.14644660940674-0.353553390593269i</v>
      </c>
      <c r="N35" t="str">
        <f t="shared" si="12"/>
        <v>0.308658283817475-0.461939766255631i</v>
      </c>
      <c r="O35" t="str">
        <f t="shared" si="13"/>
        <v>0.500000000000024-0.499999999999979i</v>
      </c>
      <c r="P35" t="str">
        <f t="shared" si="14"/>
        <v>0.691341716182569-0.461939766255611i</v>
      </c>
      <c r="Q35" t="str">
        <f t="shared" si="15"/>
        <v>0.853553390593295-0.353553390593231i</v>
      </c>
      <c r="R35" t="str">
        <f t="shared" si="16"/>
        <v>0.961939766255658-0.191341716182492i</v>
      </c>
      <c r="S35" t="str">
        <f t="shared" si="17"/>
        <v>1+5.98295284842678E-14i</v>
      </c>
      <c r="T35" t="str">
        <f t="shared" si="18"/>
        <v>0.961939766255635+0.191341716182606i</v>
      </c>
      <c r="U35" t="str">
        <f t="shared" si="19"/>
        <v>0.853553390593254+0.353553390593333i</v>
      </c>
      <c r="V35" t="str">
        <f t="shared" si="20"/>
        <v>0.691341716182515+0.461939766255695i</v>
      </c>
      <c r="W35" t="str">
        <f t="shared" si="21"/>
        <v>0.499999999999965+0.50000000000004i</v>
      </c>
      <c r="X35" t="str">
        <f t="shared" si="22"/>
        <v>0.30865828381742+0.46193976625567i</v>
      </c>
      <c r="Y35" t="str">
        <f t="shared" si="23"/>
        <v>0.146446609406698+0.353553390593288i</v>
      </c>
      <c r="Z35" t="str">
        <f t="shared" si="24"/>
        <v>0.0380602337443405+0.191341716182549i</v>
      </c>
      <c r="AA35" t="str">
        <f t="shared" si="25"/>
        <v>-1.6451706594896E-29+1.83772268236295E-16i</v>
      </c>
      <c r="AB35" t="str">
        <f t="shared" si="26"/>
        <v>0.0380602337443745-0.191341716182542i</v>
      </c>
      <c r="AC35" t="str">
        <f t="shared" si="27"/>
        <v>0.146446609406761-0.353553390593261i</v>
      </c>
      <c r="AD35" t="str">
        <f t="shared" si="28"/>
        <v>0.308658283817503-0.461939766255615i</v>
      </c>
      <c r="AE35" t="str">
        <f t="shared" si="29"/>
        <v>0.500000000000055-0.499999999999951i</v>
      </c>
      <c r="AF35" t="str">
        <f t="shared" si="30"/>
        <v>0.691341716182599-0.461939766255571i</v>
      </c>
      <c r="AG35" t="str">
        <f t="shared" si="31"/>
        <v>0.853553390593319-0.353553390593181i</v>
      </c>
      <c r="AH35" t="str">
        <f t="shared" si="32"/>
        <v>0.961939766255672-0.191341716182435i</v>
      </c>
      <c r="AI35" t="str">
        <f t="shared" si="33"/>
        <v>16.0000000000002+8.89621709632138E-13i</v>
      </c>
      <c r="AJ35" s="4">
        <f t="shared" si="34"/>
        <v>16.000000000000199</v>
      </c>
      <c r="AK35" s="4">
        <f t="shared" si="35"/>
        <v>8.8962170963213804E-13</v>
      </c>
      <c r="AL35">
        <f t="shared" si="36"/>
        <v>16.000000000000199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F525-9C78-446A-AC40-B1233D86D7DE}">
  <dimension ref="A1:AL36"/>
  <sheetViews>
    <sheetView tabSelected="1" topLeftCell="AD1" workbookViewId="0">
      <selection activeCell="AG9" sqref="AG9"/>
    </sheetView>
  </sheetViews>
  <sheetFormatPr baseColWidth="10" defaultRowHeight="15" x14ac:dyDescent="0.25"/>
  <cols>
    <col min="1" max="1" width="13.28515625" customWidth="1"/>
    <col min="2" max="2" width="13.85546875" customWidth="1"/>
    <col min="4" max="4" width="17.7109375" bestFit="1" customWidth="1"/>
    <col min="8" max="8" width="12.42578125" customWidth="1"/>
    <col min="35" max="35" width="42.7109375" bestFit="1" customWidth="1"/>
    <col min="38" max="38" width="12" bestFit="1" customWidth="1"/>
  </cols>
  <sheetData>
    <row r="1" spans="1:38" x14ac:dyDescent="0.25">
      <c r="A1" t="s">
        <v>0</v>
      </c>
      <c r="C1" t="s">
        <v>1</v>
      </c>
      <c r="D1" t="s">
        <v>2</v>
      </c>
    </row>
    <row r="2" spans="1:38" x14ac:dyDescent="0.25">
      <c r="A2">
        <v>32</v>
      </c>
      <c r="C2" t="s">
        <v>3</v>
      </c>
      <c r="D2">
        <f>COS(2*PI()*62.5*$E$2)</f>
        <v>0.98078528040323043</v>
      </c>
      <c r="E2">
        <f>1/2000</f>
        <v>5.0000000000000001E-4</v>
      </c>
    </row>
    <row r="3" spans="1:38" x14ac:dyDescent="0.25"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  <c r="AH3">
        <v>31</v>
      </c>
    </row>
    <row r="4" spans="1:38" x14ac:dyDescent="0.25">
      <c r="A4" s="1" t="s">
        <v>9</v>
      </c>
      <c r="B4" s="2" t="s">
        <v>5</v>
      </c>
      <c r="C4" s="5">
        <f>+(COS(4*2*PI()*62.5*C3*1/2000)+SIN(5*2*PI()*62.5*C3*1/2000))*0.5</f>
        <v>0.5</v>
      </c>
      <c r="D4" s="5">
        <f t="shared" ref="D4:AH4" si="0">+(COS(4*2*PI()*62.5*D3*1/2000)+SIN(5*2*PI()*62.5*D3*1/2000))*0.5</f>
        <v>0.7692881967445464</v>
      </c>
      <c r="E4" s="5">
        <f t="shared" si="0"/>
        <v>0.46193976625564342</v>
      </c>
      <c r="F4" s="5">
        <f t="shared" si="0"/>
        <v>-0.25600822958520963</v>
      </c>
      <c r="G4" s="5">
        <f t="shared" si="0"/>
        <v>-0.85355339059327373</v>
      </c>
      <c r="H4" s="5">
        <f t="shared" si="0"/>
        <v>-0.84394603079488917</v>
      </c>
      <c r="I4" s="5">
        <f t="shared" si="0"/>
        <v>-0.19134171618254486</v>
      </c>
      <c r="J4" s="5">
        <f t="shared" si="0"/>
        <v>0.6313385071030746</v>
      </c>
      <c r="K4" s="5">
        <f t="shared" si="0"/>
        <v>1</v>
      </c>
      <c r="L4" s="5">
        <f t="shared" si="0"/>
        <v>0.63133850710307526</v>
      </c>
      <c r="M4" s="5">
        <f t="shared" si="0"/>
        <v>-0.19134171618254431</v>
      </c>
      <c r="N4" s="5">
        <f t="shared" si="0"/>
        <v>-0.84394603079488861</v>
      </c>
      <c r="O4" s="5">
        <f t="shared" si="0"/>
        <v>-0.85355339059327362</v>
      </c>
      <c r="P4" s="5">
        <f t="shared" si="0"/>
        <v>-0.2560082295852098</v>
      </c>
      <c r="Q4" s="5">
        <f t="shared" si="0"/>
        <v>0.46193976625564298</v>
      </c>
      <c r="R4" s="5">
        <f t="shared" si="0"/>
        <v>0.76928819674454618</v>
      </c>
      <c r="S4" s="5">
        <f t="shared" si="0"/>
        <v>0.50000000000000033</v>
      </c>
      <c r="T4" s="5">
        <f t="shared" si="0"/>
        <v>-6.2181415557998221E-2</v>
      </c>
      <c r="U4" s="5">
        <f t="shared" si="0"/>
        <v>-0.46193976625564226</v>
      </c>
      <c r="V4" s="5">
        <f t="shared" si="0"/>
        <v>-0.45109855160133738</v>
      </c>
      <c r="W4" s="5">
        <f t="shared" si="0"/>
        <v>-0.14644660940672621</v>
      </c>
      <c r="X4" s="5">
        <f t="shared" si="0"/>
        <v>0.13683924960834154</v>
      </c>
      <c r="Y4" s="5">
        <f t="shared" si="0"/>
        <v>0.19134171618254345</v>
      </c>
      <c r="Z4" s="5">
        <f t="shared" si="0"/>
        <v>7.5768274083470588E-2</v>
      </c>
      <c r="AA4" s="5">
        <f t="shared" si="0"/>
        <v>0</v>
      </c>
      <c r="AB4" s="5">
        <f t="shared" si="0"/>
        <v>7.5768274083472809E-2</v>
      </c>
      <c r="AC4" s="5">
        <f t="shared" si="0"/>
        <v>0.19134171618254672</v>
      </c>
      <c r="AD4" s="5">
        <f t="shared" si="0"/>
        <v>0.13683924960834182</v>
      </c>
      <c r="AE4" s="5">
        <f t="shared" si="0"/>
        <v>-0.14644660940672555</v>
      </c>
      <c r="AF4" s="5">
        <f t="shared" si="0"/>
        <v>-0.45109855160133999</v>
      </c>
      <c r="AG4" s="5">
        <f t="shared" si="0"/>
        <v>-0.46193976625564442</v>
      </c>
      <c r="AH4" s="5">
        <f t="shared" si="0"/>
        <v>-6.2181415557998887E-2</v>
      </c>
      <c r="AI4" s="2" t="s">
        <v>6</v>
      </c>
      <c r="AJ4" s="3" t="s">
        <v>7</v>
      </c>
      <c r="AK4" s="3" t="s">
        <v>8</v>
      </c>
      <c r="AL4" t="s">
        <v>10</v>
      </c>
    </row>
    <row r="5" spans="1:38" x14ac:dyDescent="0.25">
      <c r="A5" s="2">
        <v>0</v>
      </c>
      <c r="B5" t="str">
        <f>IMEXP(COMPLEX(0,(-2*PI()*A5)/$A$2,"i"))</f>
        <v>1</v>
      </c>
      <c r="C5" t="str">
        <f>IMPRODUCT(C4,IMPOWER(B5,$C$3))</f>
        <v>0.5</v>
      </c>
      <c r="D5" t="str">
        <f>IMPRODUCT($D$4,IMPOWER(B5,$D$3))</f>
        <v>0.769288196744546</v>
      </c>
      <c r="E5" t="str">
        <f>IMPRODUCT($E$4,IMPOWER(B5,$E$3))</f>
        <v>0.461939766255643</v>
      </c>
      <c r="F5" t="str">
        <f>IMPRODUCT($F$4,IMPOWER(B5,$F$3))</f>
        <v>-0.25600822958521</v>
      </c>
      <c r="G5" t="str">
        <f>IMPRODUCT($G$4,IMPOWER(B5,$G$3))</f>
        <v>-0.853553390593274</v>
      </c>
      <c r="H5" t="str">
        <f>IMPRODUCT($H$4,IMPOWER(B5,$H$3))</f>
        <v>-0.843946030794889</v>
      </c>
      <c r="I5" t="str">
        <f>IMPRODUCT($I$4,IMPOWER(B5,$I$3))</f>
        <v>-0.191341716182545</v>
      </c>
      <c r="J5" t="str">
        <f>IMPRODUCT($J$4,IMPOWER(B5,$J$3))</f>
        <v>0.631338507103075</v>
      </c>
      <c r="K5" t="str">
        <f>IMPRODUCT($K$4,IMPOWER(B5,$K$3))</f>
        <v>1</v>
      </c>
      <c r="L5" t="str">
        <f>IMPRODUCT($L$4,IMPOWER(B5,$L$3))</f>
        <v>0.631338507103075</v>
      </c>
      <c r="M5" t="str">
        <f>IMPRODUCT($M$4,IMPOWER(B5,$M$3))</f>
        <v>-0.191341716182544</v>
      </c>
      <c r="N5" t="str">
        <f>IMPRODUCT($N$4,IMPOWER(B5,$N$3))</f>
        <v>-0.843946030794889</v>
      </c>
      <c r="O5" t="str">
        <f>IMPRODUCT($O$4,IMPOWER(B5,$O$3))</f>
        <v>-0.853553390593274</v>
      </c>
      <c r="P5" t="str">
        <f>IMPRODUCT($P$4,IMPOWER(B5,$P$3))</f>
        <v>-0.25600822958521</v>
      </c>
      <c r="Q5" t="str">
        <f>IMPRODUCT($Q$4,IMPOWER(B5,$Q$3))</f>
        <v>0.461939766255643</v>
      </c>
      <c r="R5" t="str">
        <f>IMPRODUCT($R$4,IMPOWER(B5,$R$3))</f>
        <v>0.769288196744546</v>
      </c>
      <c r="S5" t="str">
        <f>IMPRODUCT($S$4,IMPOWER(B5,$S$3))</f>
        <v>0.5</v>
      </c>
      <c r="T5" t="str">
        <f>IMPRODUCT($T$4,IMPOWER(B5,$T$3))</f>
        <v>-0.0621814155579982</v>
      </c>
      <c r="U5" t="str">
        <f>IMPRODUCT($U$4,IMPOWER(B5,$U$3))</f>
        <v>-0.461939766255642</v>
      </c>
      <c r="V5" t="str">
        <f>IMPRODUCT($V$4,IMPOWER(B5,$V$3))</f>
        <v>-0.451098551601337</v>
      </c>
      <c r="W5" t="str">
        <f>IMPRODUCT($W$4,IMPOWER(B5,$W$3))</f>
        <v>-0.146446609406726</v>
      </c>
      <c r="X5" t="str">
        <f>IMPRODUCT($X$4,IMPOWER(B5,$X$3))</f>
        <v>0.136839249608342</v>
      </c>
      <c r="Y5" t="str">
        <f>IMPRODUCT($Y$4,IMPOWER(B5,$Y$3))</f>
        <v>0.191341716182543</v>
      </c>
      <c r="Z5" t="str">
        <f>IMPRODUCT($Z$4,IMPOWER(B5,$Z$3))</f>
        <v>0.0757682740834706</v>
      </c>
      <c r="AA5" t="str">
        <f>IMPRODUCT($AA$4,IMPOWER(B5,$AA$3))</f>
        <v>0</v>
      </c>
      <c r="AB5" t="str">
        <f>IMPRODUCT($AB$4,IMPOWER(B5,$AB$3))</f>
        <v>0.0757682740834728</v>
      </c>
      <c r="AC5" t="str">
        <f>IMPRODUCT($AC$4,IMPOWER(B5,$AC$3))</f>
        <v>0.191341716182547</v>
      </c>
      <c r="AD5" t="str">
        <f>IMPRODUCT($AD$4,IMPOWER(B5,$AD$3))</f>
        <v>0.136839249608342</v>
      </c>
      <c r="AE5" t="str">
        <f>IMPRODUCT($AE$4,IMPOWER(B5,$AE$3))</f>
        <v>-0.146446609406726</v>
      </c>
      <c r="AF5" t="str">
        <f>IMPRODUCT($AF$4,IMPOWER(B5,$AF$3))</f>
        <v>-0.45109855160134</v>
      </c>
      <c r="AG5" t="str">
        <f>IMPRODUCT($AG$4,IMPOWER(B5,$AG$3))</f>
        <v>-0.461939766255644</v>
      </c>
      <c r="AH5" t="str">
        <f>IMPRODUCT($AH$4,IMPOWER(B5,$AH$3))</f>
        <v>-0.0621814155579989</v>
      </c>
      <c r="AI5" t="str">
        <f>+IMSUM(C5:AH5)</f>
        <v>-1.346145417358E-15</v>
      </c>
      <c r="AJ5" s="4">
        <f>+IMREAL(AI5)</f>
        <v>-1.3461454173579999E-15</v>
      </c>
      <c r="AK5" s="4">
        <f>+IMAGINARY(AI5)</f>
        <v>0</v>
      </c>
      <c r="AL5">
        <f>+SQRT(POWER((AJ5),2)+POWER(AK5,2))</f>
        <v>1.3461454173579999E-15</v>
      </c>
    </row>
    <row r="6" spans="1:38" x14ac:dyDescent="0.25">
      <c r="A6" s="2">
        <v>1</v>
      </c>
      <c r="B6" t="str">
        <f t="shared" ref="B6:B36" si="1">IMEXP(COMPLEX(0,(-2*PI()*A6)/$A$2,"i"))</f>
        <v>0.98078528040323-0.195090322016128i</v>
      </c>
      <c r="C6" t="str">
        <f>IMPRODUCT(C5,IMPOWER(B6,$C$3))</f>
        <v>0.5</v>
      </c>
      <c r="D6" t="str">
        <f t="shared" ref="D6:D36" si="2">IMPRODUCT($D$4,IMPOWER(B6,$D$3))</f>
        <v>0.754506539754995-0.1500806820261i</v>
      </c>
      <c r="E6" t="str">
        <f t="shared" ref="E6:E36" si="3">IMPRODUCT($E$4,IMPOWER(B6,$E$3))</f>
        <v>0.426776695296637-0.176776695296637i</v>
      </c>
      <c r="F6" t="str">
        <f>IMPRODUCT($F$4,IMPOWER(B6,$F$3))</f>
        <v>-0.212863063399475+0.14223055176559i</v>
      </c>
      <c r="G6" t="str">
        <f>IMPRODUCT($G$4,IMPOWER(B6,$G$3))</f>
        <v>-0.603553390593273+0.603553390593273i</v>
      </c>
      <c r="H6" t="str">
        <f>IMPRODUCT($H$4,IMPOWER(B6,$H$3))</f>
        <v>-0.468871292984685+0.701715479029297i</v>
      </c>
      <c r="I6" t="str">
        <f t="shared" ref="I6:I36" si="4">IMPRODUCT($I$4,IMPOWER(B6,$I$3))</f>
        <v>-0.0732233047033631+0.176776695296636i</v>
      </c>
      <c r="J6" t="str">
        <f t="shared" ref="J6:J36" si="5">IMPRODUCT($J$4,IMPOWER(B6,$J$3))</f>
        <v>0.123168032651921-0.619207514718444i</v>
      </c>
      <c r="K6" t="str">
        <f t="shared" ref="K6:K36" si="6">IMPRODUCT($K$4,IMPOWER(B6,$K$3))</f>
        <v>1.39352505229561E-15-0.999999999999996i</v>
      </c>
      <c r="L6" t="str">
        <f t="shared" ref="L6:L36" si="7">IMPRODUCT($L$4,IMPOWER(B6,$L$3))</f>
        <v>-0.123168032651919-0.619207514718444i</v>
      </c>
      <c r="M6" t="str">
        <f t="shared" ref="M6:M36" si="8">IMPRODUCT($M$4,IMPOWER(B6,$M$3))</f>
        <v>0.0732233047033622+0.176776695296636i</v>
      </c>
      <c r="N6" t="str">
        <f t="shared" ref="N6:N36" si="9">IMPRODUCT($N$4,IMPOWER(B6,$N$3))</f>
        <v>0.468871292984681+0.701715479029295i</v>
      </c>
      <c r="O6" t="str">
        <f t="shared" ref="O6:O36" si="10">IMPRODUCT($O$4,IMPOWER(B6,$O$3))</f>
        <v>0.603553390593269+0.603553390593272i</v>
      </c>
      <c r="P6" t="str">
        <f t="shared" ref="P6:P36" si="11">IMPRODUCT($P$4,IMPOWER(B6,$P$3))</f>
        <v>0.212863063399474+0.142230551765591i</v>
      </c>
      <c r="Q6" t="str">
        <f t="shared" ref="Q6:Q36" si="12">IMPRODUCT($Q$4,IMPOWER(B6,$Q$3))</f>
        <v>-0.426776695296633-0.176776695296637i</v>
      </c>
      <c r="R6" t="str">
        <f t="shared" ref="R6:R36" si="13">IMPRODUCT($R$4,IMPOWER(B6,$R$3))</f>
        <v>-0.754506539754989-0.150080682026101i</v>
      </c>
      <c r="S6" t="str">
        <f t="shared" ref="S6:S36" si="14">IMPRODUCT($S$4,IMPOWER(B6,$S$3))</f>
        <v>-0.499999999999997-1.39352505229561E-15i</v>
      </c>
      <c r="T6" t="str">
        <f t="shared" ref="T6:T36" si="15">IMPRODUCT($T$4,IMPOWER(B6,$T$3))</f>
        <v>0.0609866170939207-0.0121309923846283i</v>
      </c>
      <c r="U6" t="str">
        <f t="shared" ref="U6:U36" si="16">IMPRODUCT($U$4,IMPOWER(B6,$U$3))</f>
        <v>0.426776695296633-0.176776695296634i</v>
      </c>
      <c r="V6" t="str">
        <f t="shared" ref="V6:V36" si="17">IMPRODUCT($V$4,IMPOWER(B6,$V$3))</f>
        <v>0.375074737810201-0.250616927427957i</v>
      </c>
      <c r="W6" t="str">
        <f t="shared" ref="W6:W36" si="18">IMPRODUCT($W$4,IMPOWER(B6,$W$3))</f>
        <v>0.103553390593273-0.103553390593272i</v>
      </c>
      <c r="X6" t="str">
        <f t="shared" ref="X6:X36" si="19">IMPRODUCT($X$4,IMPOWER(B6,$X$3))</f>
        <v>-0.0760238137911335+0.113777677819618i</v>
      </c>
      <c r="Y6" t="str">
        <f t="shared" ref="Y6:Y36" si="20">IMPRODUCT($Y$4,IMPOWER(B6,$Y$3))</f>
        <v>-0.0732233047033626+0.176776695296633i</v>
      </c>
      <c r="Z6" t="str">
        <f t="shared" ref="Z6:Z36" si="21">IMPRODUCT($Z$4,IMPOWER(B6,$Z$3))</f>
        <v>-0.0147816569895507+0.0743124079426247i</v>
      </c>
      <c r="AA6" t="str">
        <f t="shared" ref="AA6:AA36" si="22">IMPRODUCT($AA$4,IMPOWER(B6,$AA$3))</f>
        <v>0</v>
      </c>
      <c r="AB6" t="str">
        <f t="shared" ref="AB6:AB36" si="23">IMPRODUCT($AB$4,IMPOWER(B6,$AB$3))</f>
        <v>0.0147816569895505+0.0743124079426269i</v>
      </c>
      <c r="AC6" t="str">
        <f t="shared" ref="AC6:AC36" si="24">IMPRODUCT($AC$4,IMPOWER(B6,$AC$3))</f>
        <v>0.0732233047033621+0.176776695296637i</v>
      </c>
      <c r="AD6" t="str">
        <f t="shared" ref="AD6:AD36" si="25">IMPRODUCT($AD$4,IMPOWER(B6,$AD$3))</f>
        <v>0.0760238137911326+0.113777677819618i</v>
      </c>
      <c r="AE6" t="str">
        <f t="shared" ref="AE6:AE36" si="26">IMPRODUCT($AE$4,IMPOWER(B6,$AE$3))</f>
        <v>-0.103553390593271-0.103553390593272i</v>
      </c>
      <c r="AF6" t="str">
        <f t="shared" ref="AF6:AF36" si="27">IMPRODUCT($AF$4,IMPOWER(B6,$AF$3))</f>
        <v>-0.3750747378102-0.25061692742796i</v>
      </c>
      <c r="AG6" t="str">
        <f t="shared" ref="AG6:AG36" si="28">IMPRODUCT($AG$4,IMPOWER(B6,$AG$3))</f>
        <v>-0.426776695296631-0.176776695296637i</v>
      </c>
      <c r="AH6" t="str">
        <f t="shared" ref="AH6:AH36" si="29">IMPRODUCT($AH$4,IMPOWER(B6,$AH$3))</f>
        <v>-0.0609866170939208-0.0121309923846289i</v>
      </c>
      <c r="AI6" t="str">
        <f t="shared" ref="AI6:AI36" si="30">+IMSUM(C6:AH6)</f>
        <v>9.63812363252714E-15-2.03483063732079E-15i</v>
      </c>
      <c r="AJ6" s="4">
        <f t="shared" ref="AJ6:AJ36" si="31">+IMREAL(AI6)</f>
        <v>9.6381236325271402E-15</v>
      </c>
      <c r="AK6" s="4">
        <f t="shared" ref="AK6:AK36" si="32">+IMAGINARY(AI6)</f>
        <v>-2.03483063732079E-15</v>
      </c>
      <c r="AL6">
        <f t="shared" ref="AL6:AL36" si="33">+SQRT(POWER((AJ6),2)+POWER(AK6,2))</f>
        <v>9.8505818548173839E-15</v>
      </c>
    </row>
    <row r="7" spans="1:38" x14ac:dyDescent="0.25">
      <c r="A7" s="2">
        <v>2</v>
      </c>
      <c r="B7" t="str">
        <f t="shared" si="1"/>
        <v>0.923879532511287-0.38268343236509i</v>
      </c>
      <c r="C7" t="str">
        <f t="shared" ref="C7:C36" si="34">IMPRODUCT(C6,IMPOWER(B7,$C$3))</f>
        <v>0.5</v>
      </c>
      <c r="D7" t="str">
        <f t="shared" si="2"/>
        <v>0.710729619574803-0.294393847608154i</v>
      </c>
      <c r="E7" t="str">
        <f t="shared" si="3"/>
        <v>0.326640741219094-0.326640741219094i</v>
      </c>
      <c r="F7" t="str">
        <f t="shared" ref="F7:F36" si="35">IMPRODUCT($F$4,IMPOWER(B7,$F$3))</f>
        <v>-0.097970108011378+0.236520763468226i</v>
      </c>
      <c r="G7" t="str">
        <f t="shared" ref="G7:G36" si="36">IMPRODUCT($G$4,IMPOWER(B7,$G$3))</f>
        <v>5.16294295306746E-16+0.853553390593274i</v>
      </c>
      <c r="H7" t="str">
        <f t="shared" ref="H7:H36" si="37">IMPRODUCT($H$4,IMPOWER(B7,$H$3))</f>
        <v>0.322964163795483+0.779704464395539i</v>
      </c>
      <c r="I7" t="str">
        <f t="shared" si="4"/>
        <v>0.13529902503655+0.13529902503655i</v>
      </c>
      <c r="J7" t="str">
        <f t="shared" si="5"/>
        <v>-0.583280724798764-0.241602786882456i</v>
      </c>
      <c r="K7" t="str">
        <f t="shared" si="6"/>
        <v>-1+1.20975278405933E-15i</v>
      </c>
      <c r="L7" t="str">
        <f t="shared" si="7"/>
        <v>-0.583280724798765+0.241602786882458i</v>
      </c>
      <c r="M7" t="str">
        <f t="shared" si="8"/>
        <v>0.135299025036549-0.13529902503655i</v>
      </c>
      <c r="N7" t="str">
        <f t="shared" si="9"/>
        <v>0.322964163795482-0.779704464395542i</v>
      </c>
      <c r="O7" t="str">
        <f t="shared" si="10"/>
        <v>-1.35935596052354E-15-0.853553390593282i</v>
      </c>
      <c r="P7" t="str">
        <f t="shared" si="11"/>
        <v>-0.0979701080113791-0.236520763468227i</v>
      </c>
      <c r="Q7" t="str">
        <f t="shared" si="12"/>
        <v>0.326640741219097+0.326640741219095i</v>
      </c>
      <c r="R7" t="str">
        <f t="shared" si="13"/>
        <v>0.710729619574808+0.294393847608154i</v>
      </c>
      <c r="S7" t="str">
        <f t="shared" si="14"/>
        <v>0.500000000000005-1.20975278405934E-15i</v>
      </c>
      <c r="T7" t="str">
        <f t="shared" si="15"/>
        <v>-0.0574481371366138+0.0237957975350551i</v>
      </c>
      <c r="U7" t="str">
        <f t="shared" si="16"/>
        <v>-0.326640741219095+0.326640741219097i</v>
      </c>
      <c r="V7" t="str">
        <f t="shared" si="17"/>
        <v>-0.17262794206172+0.416760718969966i</v>
      </c>
      <c r="W7" t="str">
        <f t="shared" si="18"/>
        <v>4.7542816314292E-16+0.146446609406728i</v>
      </c>
      <c r="X7" t="str">
        <f t="shared" si="19"/>
        <v>-0.0523661137223844-0.126422981957351i</v>
      </c>
      <c r="Y7" t="str">
        <f t="shared" si="20"/>
        <v>-0.13529902503655-0.135299025036549i</v>
      </c>
      <c r="Z7" t="str">
        <f t="shared" si="21"/>
        <v>-0.0700007576394246-0.0289952631906415i</v>
      </c>
      <c r="AA7" t="str">
        <f t="shared" si="22"/>
        <v>0</v>
      </c>
      <c r="AB7" t="str">
        <f t="shared" si="23"/>
        <v>-0.0700007576394266+0.0289952631906428i</v>
      </c>
      <c r="AC7" t="str">
        <f t="shared" si="24"/>
        <v>-0.135299025036552+0.135299025036553i</v>
      </c>
      <c r="AD7" t="str">
        <f t="shared" si="25"/>
        <v>-0.0523661137223835+0.126422981957352i</v>
      </c>
      <c r="AE7" t="str">
        <f t="shared" si="26"/>
        <v>-7.17627715645412E-16-0.146446609406727i</v>
      </c>
      <c r="AF7" t="str">
        <f t="shared" si="27"/>
        <v>-0.172627942061725-0.416760718969969i</v>
      </c>
      <c r="AG7" t="str">
        <f t="shared" si="28"/>
        <v>-0.326640741219101-0.326640741219098i</v>
      </c>
      <c r="AH7" t="str">
        <f t="shared" si="29"/>
        <v>-0.0574481371366149-0.0237957975350551i</v>
      </c>
      <c r="AI7" t="str">
        <f t="shared" si="30"/>
        <v>-7.50094431012371E-15-5.92234594698482E-15i</v>
      </c>
      <c r="AJ7" s="4">
        <f t="shared" si="31"/>
        <v>-7.5009443101237107E-15</v>
      </c>
      <c r="AK7" s="4">
        <f t="shared" si="32"/>
        <v>-5.9223459469848202E-15</v>
      </c>
      <c r="AL7">
        <f t="shared" si="33"/>
        <v>9.5571097649522057E-15</v>
      </c>
    </row>
    <row r="8" spans="1:38" x14ac:dyDescent="0.25">
      <c r="A8" s="2">
        <v>3</v>
      </c>
      <c r="B8" t="str">
        <f t="shared" si="1"/>
        <v>0.831469612302545-0.555570233019602i</v>
      </c>
      <c r="C8" t="str">
        <f t="shared" si="34"/>
        <v>0.5</v>
      </c>
      <c r="D8" t="str">
        <f t="shared" si="2"/>
        <v>0.639639758696112-0.427393622724597i</v>
      </c>
      <c r="E8" t="str">
        <f t="shared" si="3"/>
        <v>0.176776695296637-0.426776695296637i</v>
      </c>
      <c r="F8" t="str">
        <f t="shared" si="35"/>
        <v>0.0499447279485574+0.251089103239264i</v>
      </c>
      <c r="G8" t="str">
        <f t="shared" si="36"/>
        <v>0.603553390593273+0.603553390593273i</v>
      </c>
      <c r="H8" t="str">
        <f t="shared" si="37"/>
        <v>0.827729844458358+0.164645702912009i</v>
      </c>
      <c r="I8" t="str">
        <f t="shared" si="4"/>
        <v>0.176776695296637-0.0732233047033628i</v>
      </c>
      <c r="J8" t="str">
        <f t="shared" si="5"/>
        <v>-0.350752881505503+0.52493878373266i</v>
      </c>
      <c r="K8" t="str">
        <f t="shared" si="6"/>
        <v>-1.07195068793642E-15+0.999999999999997i</v>
      </c>
      <c r="L8" t="str">
        <f t="shared" si="7"/>
        <v>0.350752881505502+0.524938783732661i</v>
      </c>
      <c r="M8" t="str">
        <f t="shared" si="8"/>
        <v>-0.176776695296636-0.0732233047033629i</v>
      </c>
      <c r="N8" t="str">
        <f t="shared" si="9"/>
        <v>-0.827729844458355+0.164645702912006i</v>
      </c>
      <c r="O8" t="str">
        <f t="shared" si="10"/>
        <v>-0.603553390593272+0.603553390593271i</v>
      </c>
      <c r="P8" t="str">
        <f t="shared" si="11"/>
        <v>-0.0499447279485577+0.251089103239263i</v>
      </c>
      <c r="Q8" t="str">
        <f t="shared" si="12"/>
        <v>-0.176776695296635-0.426776695296635i</v>
      </c>
      <c r="R8" t="str">
        <f t="shared" si="13"/>
        <v>-0.639639758696108-0.427393622724596i</v>
      </c>
      <c r="S8" t="str">
        <f t="shared" si="14"/>
        <v>-0.499999999999998-1.07195068793642E-15i</v>
      </c>
      <c r="T8" t="str">
        <f t="shared" si="15"/>
        <v>0.051701957486432-0.0345461435310455i</v>
      </c>
      <c r="U8" t="str">
        <f t="shared" si="16"/>
        <v>0.176776695296637-0.426776695296633i</v>
      </c>
      <c r="V8" t="str">
        <f t="shared" si="17"/>
        <v>-0.088004961692912-0.442430819421806i</v>
      </c>
      <c r="W8" t="str">
        <f t="shared" si="18"/>
        <v>-0.103553390593273-0.103553390593273i</v>
      </c>
      <c r="X8" t="str">
        <f t="shared" si="19"/>
        <v>0.134209921797284+0.0266960132705369i</v>
      </c>
      <c r="Y8" t="str">
        <f t="shared" si="20"/>
        <v>0.176776695296634-0.0732233047033615i</v>
      </c>
      <c r="Z8" t="str">
        <f t="shared" si="21"/>
        <v>0.0420945976880467-0.0629990174770157i</v>
      </c>
      <c r="AA8" t="str">
        <f t="shared" si="22"/>
        <v>0</v>
      </c>
      <c r="AB8" t="str">
        <f t="shared" si="23"/>
        <v>-0.0420945976880475-0.0629990174770177i</v>
      </c>
      <c r="AC8" t="str">
        <f t="shared" si="24"/>
        <v>-0.176776695296637-0.0732233047033637i</v>
      </c>
      <c r="AD8" t="str">
        <f t="shared" si="25"/>
        <v>-0.134209921797284+0.0266960132705362i</v>
      </c>
      <c r="AE8" t="str">
        <f t="shared" si="26"/>
        <v>0.103553390593273-0.103553390593272i</v>
      </c>
      <c r="AF8" t="str">
        <f t="shared" si="27"/>
        <v>0.0880049616929161-0.442430819421807i</v>
      </c>
      <c r="AG8" t="str">
        <f t="shared" si="28"/>
        <v>-0.176776695296634-0.426776695296634i</v>
      </c>
      <c r="AH8" t="str">
        <f t="shared" si="29"/>
        <v>-0.051701957486432-0.0345461435310461i</v>
      </c>
      <c r="AI8" t="str">
        <f t="shared" si="30"/>
        <v>1.3988810110277E-14+1.00752739484733E-14i</v>
      </c>
      <c r="AJ8" s="4">
        <f t="shared" si="31"/>
        <v>1.3988810110276999E-14</v>
      </c>
      <c r="AK8" s="4">
        <f t="shared" si="32"/>
        <v>1.00752739484733E-14</v>
      </c>
      <c r="AL8">
        <f t="shared" si="33"/>
        <v>1.7239430194706923E-14</v>
      </c>
    </row>
    <row r="9" spans="1:38" x14ac:dyDescent="0.25">
      <c r="A9" s="2">
        <v>4</v>
      </c>
      <c r="B9" t="str">
        <f t="shared" si="1"/>
        <v>0.707106781186548-0.707106781186547i</v>
      </c>
      <c r="C9" t="str">
        <f t="shared" si="34"/>
        <v>0.5</v>
      </c>
      <c r="D9" t="str">
        <f t="shared" si="2"/>
        <v>0.54396890060484-0.543968900604839i</v>
      </c>
      <c r="E9" t="str">
        <f t="shared" si="3"/>
        <v>6.43724636928822E-16-0.461939766255643i</v>
      </c>
      <c r="F9" t="str">
        <f t="shared" si="35"/>
        <v>0.181025155179264+0.181025155179265i</v>
      </c>
      <c r="G9" t="str">
        <f t="shared" si="36"/>
        <v>0.853553390593274+2.37889606652719E-15i</v>
      </c>
      <c r="H9" t="str">
        <f t="shared" si="37"/>
        <v>0.596759961330539-0.596759961330535i</v>
      </c>
      <c r="I9" t="str">
        <f t="shared" si="4"/>
        <v>7.14945633597981E-16-0.191341716182545i</v>
      </c>
      <c r="J9" t="str">
        <f t="shared" si="5"/>
        <v>0.446423739596773+0.446423739596778i</v>
      </c>
      <c r="K9" t="str">
        <f t="shared" si="6"/>
        <v>1+5.57410020918248E-15i</v>
      </c>
      <c r="L9" t="str">
        <f t="shared" si="7"/>
        <v>0.446423739596779-0.446423739596773i</v>
      </c>
      <c r="M9" t="str">
        <f t="shared" si="8"/>
        <v>-1.41817016679893E-15+0.191341716182544i</v>
      </c>
      <c r="N9" t="str">
        <f t="shared" si="9"/>
        <v>0.596759961330532+0.596759961330541i</v>
      </c>
      <c r="O9" t="str">
        <f t="shared" si="10"/>
        <v>0.853553390593274+6.37858049799475E-15i</v>
      </c>
      <c r="P9" t="str">
        <f t="shared" si="11"/>
        <v>0.181025155179266-0.181025155179263i</v>
      </c>
      <c r="Q9" t="str">
        <f t="shared" si="12"/>
        <v>-4.30092999270695E-15+0.461939766255643i</v>
      </c>
      <c r="R9" t="str">
        <f t="shared" si="13"/>
        <v>0.543968900604834+0.543968900604845i</v>
      </c>
      <c r="S9" t="str">
        <f t="shared" si="14"/>
        <v>0.5+5.5741002091825E-15i</v>
      </c>
      <c r="T9" t="str">
        <f t="shared" si="15"/>
        <v>-0.0439689006048398+0.0439689006048387i</v>
      </c>
      <c r="U9" t="str">
        <f t="shared" si="16"/>
        <v>-5.99866419815415E-15+0.461939766255642i</v>
      </c>
      <c r="V9" t="str">
        <f t="shared" si="17"/>
        <v>0.318974844820731+0.31897484482074i</v>
      </c>
      <c r="W9" t="str">
        <f t="shared" si="18"/>
        <v>0.146446609406726+2.17084090843355E-15i</v>
      </c>
      <c r="X9" t="str">
        <f t="shared" si="19"/>
        <v>-0.0967599613305382+0.0967599613305356i</v>
      </c>
      <c r="Y9" t="str">
        <f t="shared" si="20"/>
        <v>-3.18795260019832E-15+0.191341716182543i</v>
      </c>
      <c r="Z9" t="str">
        <f t="shared" si="21"/>
        <v>0.0535762604032221+0.0535762604032239i</v>
      </c>
      <c r="AA9" t="str">
        <f t="shared" si="22"/>
        <v>0</v>
      </c>
      <c r="AB9" t="str">
        <f t="shared" si="23"/>
        <v>0.0535762604032255-0.0535762604032236i</v>
      </c>
      <c r="AC9" t="str">
        <f t="shared" si="24"/>
        <v>3.21139480099244E-15-0.191341716182547i</v>
      </c>
      <c r="AD9" t="str">
        <f t="shared" si="25"/>
        <v>-0.0967599613305353-0.096759961330539i</v>
      </c>
      <c r="AE9" t="str">
        <f t="shared" si="26"/>
        <v>0.146446609406726+2.72700754833501E-15i</v>
      </c>
      <c r="AF9" t="str">
        <f t="shared" si="27"/>
        <v>0.318974844820744-0.31897484482073i</v>
      </c>
      <c r="AG9" t="str">
        <f t="shared" si="28"/>
        <v>9.45072708813754E-15-0.461939766255644i</v>
      </c>
      <c r="AH9" t="str">
        <f t="shared" si="29"/>
        <v>-0.0439689006048387-0.0439689006048407i</v>
      </c>
      <c r="AI9" t="str">
        <f t="shared" si="30"/>
        <v>8+4.17027523624824E-14i</v>
      </c>
      <c r="AJ9" s="4">
        <f t="shared" si="31"/>
        <v>8</v>
      </c>
      <c r="AK9" s="4">
        <f t="shared" si="32"/>
        <v>4.1702752362482398E-14</v>
      </c>
      <c r="AL9">
        <f t="shared" si="33"/>
        <v>8</v>
      </c>
    </row>
    <row r="10" spans="1:38" x14ac:dyDescent="0.25">
      <c r="A10" s="2">
        <v>5</v>
      </c>
      <c r="B10" t="str">
        <f t="shared" si="1"/>
        <v>0.555570233019603-0.831469612302545i</v>
      </c>
      <c r="C10" t="str">
        <f t="shared" si="34"/>
        <v>0.5</v>
      </c>
      <c r="D10" t="str">
        <f t="shared" si="2"/>
        <v>0.427393622724598-0.639639758696112i</v>
      </c>
      <c r="E10" t="str">
        <f t="shared" si="3"/>
        <v>-0.176776695296637-0.426776695296637i</v>
      </c>
      <c r="F10" t="str">
        <f t="shared" si="35"/>
        <v>0.251089103239265+0.0499447279485579i</v>
      </c>
      <c r="G10" t="str">
        <f t="shared" si="36"/>
        <v>0.603553390593276-0.603553390593273i</v>
      </c>
      <c r="H10" t="str">
        <f t="shared" si="37"/>
        <v>-0.164645702912005-0.82772984445836i</v>
      </c>
      <c r="I10" t="str">
        <f t="shared" si="4"/>
        <v>-0.176776695296637-0.0732233047033639i</v>
      </c>
      <c r="J10" t="str">
        <f t="shared" si="5"/>
        <v>0.524938783732664-0.350752881505501i</v>
      </c>
      <c r="K10" t="str">
        <f t="shared" si="6"/>
        <v>5.63535763192792E-15-i</v>
      </c>
      <c r="L10" t="str">
        <f t="shared" si="7"/>
        <v>-0.524938783732661-0.350752881505507i</v>
      </c>
      <c r="M10" t="str">
        <f t="shared" si="8"/>
        <v>0.176776695296637-0.0732233047033618i</v>
      </c>
      <c r="N10" t="str">
        <f t="shared" si="9"/>
        <v>0.164645702912015-0.827729844458359i</v>
      </c>
      <c r="O10" t="str">
        <f t="shared" si="10"/>
        <v>-0.60355339059327-0.60355339059328i</v>
      </c>
      <c r="P10" t="str">
        <f t="shared" si="11"/>
        <v>-0.251089103239266+0.0499447279485556i</v>
      </c>
      <c r="Q10" t="str">
        <f t="shared" si="12"/>
        <v>0.176776695296641-0.426776695296636i</v>
      </c>
      <c r="R10" t="str">
        <f t="shared" si="13"/>
        <v>-0.427393622724592-0.639639758696119i</v>
      </c>
      <c r="S10" t="str">
        <f t="shared" si="14"/>
        <v>-0.5-5.63535763192795E-15i</v>
      </c>
      <c r="T10" t="str">
        <f t="shared" si="15"/>
        <v>0.0345461435310465-0.051701957486432i</v>
      </c>
      <c r="U10" t="str">
        <f t="shared" si="16"/>
        <v>-0.176776695296632-0.42677669529664i</v>
      </c>
      <c r="V10" t="str">
        <f t="shared" si="17"/>
        <v>-0.44243081942181-0.0880049616929206i</v>
      </c>
      <c r="W10" t="str">
        <f t="shared" si="18"/>
        <v>-0.103553390593276+0.103553390593273i</v>
      </c>
      <c r="X10" t="str">
        <f t="shared" si="19"/>
        <v>-0.026696013270535-0.134209921797286i</v>
      </c>
      <c r="Y10" t="str">
        <f t="shared" si="20"/>
        <v>-0.176776695296635-0.073223304703366i</v>
      </c>
      <c r="Z10" t="str">
        <f t="shared" si="21"/>
        <v>-0.0629990174770173+0.042094597688046i</v>
      </c>
      <c r="AA10" t="str">
        <f t="shared" si="22"/>
        <v>0</v>
      </c>
      <c r="AB10" t="str">
        <f t="shared" si="23"/>
        <v>0.0629990174770178+0.0420945976880494i</v>
      </c>
      <c r="AC10" t="str">
        <f t="shared" si="24"/>
        <v>0.176776695296641-0.0732233047033614i</v>
      </c>
      <c r="AD10" t="str">
        <f t="shared" si="25"/>
        <v>0.0266960132705396-0.134209921797285i</v>
      </c>
      <c r="AE10" t="str">
        <f t="shared" si="26"/>
        <v>0.103553390593272+0.103553390593276i</v>
      </c>
      <c r="AF10" t="str">
        <f t="shared" si="27"/>
        <v>0.442430819421816-0.0880049616929062i</v>
      </c>
      <c r="AG10" t="str">
        <f t="shared" si="28"/>
        <v>0.176776695296648-0.426776695296637i</v>
      </c>
      <c r="AH10" t="str">
        <f t="shared" si="29"/>
        <v>-0.0345461435310452-0.051701957486434i</v>
      </c>
      <c r="AI10" t="str">
        <f t="shared" si="30"/>
        <v>6.38447628098504E-14-8.00000000000002i</v>
      </c>
      <c r="AJ10" s="4">
        <f t="shared" si="31"/>
        <v>6.3844762809850396E-14</v>
      </c>
      <c r="AK10" s="4">
        <f t="shared" si="32"/>
        <v>-8.0000000000000195</v>
      </c>
      <c r="AL10">
        <f t="shared" si="33"/>
        <v>8.0000000000000195</v>
      </c>
    </row>
    <row r="11" spans="1:38" x14ac:dyDescent="0.25">
      <c r="A11" s="2">
        <v>6</v>
      </c>
      <c r="B11" t="str">
        <f t="shared" si="1"/>
        <v>0.382683432365092-0.923879532511286i</v>
      </c>
      <c r="C11" t="str">
        <f t="shared" si="34"/>
        <v>0.5</v>
      </c>
      <c r="D11" t="str">
        <f t="shared" si="2"/>
        <v>0.294393847608155-0.710729619574802i</v>
      </c>
      <c r="E11" t="str">
        <f t="shared" si="3"/>
        <v>-0.326640741219093-0.326640741219096i</v>
      </c>
      <c r="F11" t="str">
        <f t="shared" si="35"/>
        <v>0.236520763468226-0.0979701080113765i</v>
      </c>
      <c r="G11" t="str">
        <f t="shared" si="36"/>
        <v>7.73793645851829E-15-0.853553390593274i</v>
      </c>
      <c r="H11" t="str">
        <f t="shared" si="37"/>
        <v>-0.779704464395534-0.322964163795491i</v>
      </c>
      <c r="I11" t="str">
        <f t="shared" si="4"/>
        <v>-0.135299025036551+0.135299025036547i</v>
      </c>
      <c r="J11" t="str">
        <f t="shared" si="5"/>
        <v>-0.241602786882447-0.583280724798766i</v>
      </c>
      <c r="K11" t="str">
        <f t="shared" si="6"/>
        <v>-1-1.81311129304751E-14i</v>
      </c>
      <c r="L11" t="str">
        <f t="shared" si="7"/>
        <v>-0.241602786882469+0.583280724798758i</v>
      </c>
      <c r="M11" t="str">
        <f t="shared" si="8"/>
        <v>-0.135299025036546-0.135299025036552i</v>
      </c>
      <c r="N11" t="str">
        <f t="shared" si="9"/>
        <v>-0.779704464395545+0.322964163795462i</v>
      </c>
      <c r="O11" t="str">
        <f t="shared" si="10"/>
        <v>-2.32138093755548E-14+0.853553390593274i</v>
      </c>
      <c r="P11" t="str">
        <f t="shared" si="11"/>
        <v>0.236520763468223+0.097970108011385i</v>
      </c>
      <c r="Q11" t="str">
        <f t="shared" si="12"/>
        <v>-0.326640741219104+0.326640741219083i</v>
      </c>
      <c r="R11" t="str">
        <f t="shared" si="13"/>
        <v>0.29439384760813+0.710729619574812i</v>
      </c>
      <c r="S11" t="str">
        <f t="shared" si="14"/>
        <v>0.5+1.81311129304751E-14i</v>
      </c>
      <c r="T11" t="str">
        <f t="shared" si="15"/>
        <v>-0.0237957975350571+0.0574481371366125i</v>
      </c>
      <c r="U11" t="str">
        <f t="shared" si="16"/>
        <v>0.32664074121908+0.326640741219106i</v>
      </c>
      <c r="V11" t="str">
        <f t="shared" si="17"/>
        <v>0.416760718969969-0.172627942061703i</v>
      </c>
      <c r="W11" t="str">
        <f t="shared" si="18"/>
        <v>6.63810003359632E-15-0.146446609406726i</v>
      </c>
      <c r="X11" t="str">
        <f t="shared" si="19"/>
        <v>0.126422981957347+0.0523661137223896i</v>
      </c>
      <c r="Y11" t="str">
        <f t="shared" si="20"/>
        <v>0.135299025036555-0.135299025036541i</v>
      </c>
      <c r="Z11" t="str">
        <f t="shared" si="21"/>
        <v>-0.0289952631906379-0.0700007576394253i</v>
      </c>
      <c r="AA11" t="str">
        <f t="shared" si="22"/>
        <v>0</v>
      </c>
      <c r="AB11" t="str">
        <f t="shared" si="23"/>
        <v>-0.0289952631906464+0.0700007576394242i</v>
      </c>
      <c r="AC11" t="str">
        <f t="shared" si="24"/>
        <v>0.135299025036543+0.135299025036558i</v>
      </c>
      <c r="AD11" t="str">
        <f t="shared" si="25"/>
        <v>0.126422981957353-0.052366113722376i</v>
      </c>
      <c r="AE11" t="str">
        <f t="shared" si="26"/>
        <v>-9.29334004703481E-15+0.146446609406726i</v>
      </c>
      <c r="AF11" t="str">
        <f t="shared" si="27"/>
        <v>0.416760718969953+0.172627942061749i</v>
      </c>
      <c r="AG11" t="str">
        <f t="shared" si="28"/>
        <v>0.326640741219116-0.326640741219074i</v>
      </c>
      <c r="AH11" t="str">
        <f t="shared" si="29"/>
        <v>-0.023795797535051-0.0574481371366157i</v>
      </c>
      <c r="AI11" t="str">
        <f t="shared" si="30"/>
        <v>-4.98941166160449E-14+6.77513600777502E-14i</v>
      </c>
      <c r="AJ11" s="4">
        <f t="shared" si="31"/>
        <v>-4.98941166160449E-14</v>
      </c>
      <c r="AK11" s="4">
        <f t="shared" si="32"/>
        <v>6.7751360077750203E-14</v>
      </c>
      <c r="AL11">
        <f t="shared" si="33"/>
        <v>8.4140772906364799E-14</v>
      </c>
    </row>
    <row r="12" spans="1:38" x14ac:dyDescent="0.25">
      <c r="A12" s="2">
        <v>7</v>
      </c>
      <c r="B12" t="str">
        <f t="shared" si="1"/>
        <v>0.195090322016133-0.98078528040323i</v>
      </c>
      <c r="C12" t="str">
        <f t="shared" si="34"/>
        <v>0.5</v>
      </c>
      <c r="D12" t="str">
        <f t="shared" si="2"/>
        <v>0.150080682026104-0.754506539754995i</v>
      </c>
      <c r="E12" t="str">
        <f t="shared" si="3"/>
        <v>-0.426776695296636-0.176776695296641i</v>
      </c>
      <c r="F12" t="str">
        <f t="shared" si="35"/>
        <v>0.142230551765594-0.212863063399473i</v>
      </c>
      <c r="G12" t="str">
        <f t="shared" si="36"/>
        <v>-0.603553390593263-0.603553390593286i</v>
      </c>
      <c r="H12" t="str">
        <f t="shared" si="37"/>
        <v>-0.701715479029311+0.46887129298467i</v>
      </c>
      <c r="I12" t="str">
        <f t="shared" si="4"/>
        <v>0.0732233047033584+0.176776695296639i</v>
      </c>
      <c r="J12" t="str">
        <f t="shared" si="5"/>
        <v>-0.619207514718452+0.1231680326519i</v>
      </c>
      <c r="K12" t="str">
        <f t="shared" si="6"/>
        <v>-3.77322955866234E-14+i</v>
      </c>
      <c r="L12" t="str">
        <f t="shared" si="7"/>
        <v>0.619207514718444+0.123168032651948i</v>
      </c>
      <c r="M12" t="str">
        <f t="shared" si="8"/>
        <v>-0.0732233047033716+0.176776695296634i</v>
      </c>
      <c r="N12" t="str">
        <f t="shared" si="9"/>
        <v>0.701715479029277+0.468871292984723i</v>
      </c>
      <c r="O12" t="str">
        <f t="shared" si="10"/>
        <v>0.603553390593311-0.603553390593243i</v>
      </c>
      <c r="P12" t="str">
        <f t="shared" si="11"/>
        <v>-0.142230551765578-0.212863063399485i</v>
      </c>
      <c r="Q12" t="str">
        <f t="shared" si="12"/>
        <v>0.426776695296651-0.17677669529661i</v>
      </c>
      <c r="R12" t="str">
        <f t="shared" si="13"/>
        <v>-0.150080682026048-0.754506539755011i</v>
      </c>
      <c r="S12" t="str">
        <f t="shared" si="14"/>
        <v>-0.500000000000005-3.77322955866236E-14i</v>
      </c>
      <c r="T12" t="str">
        <f t="shared" si="15"/>
        <v>0.0121309923846335-0.0609866170939206i</v>
      </c>
      <c r="U12" t="str">
        <f t="shared" si="16"/>
        <v>-0.426776695296624-0.176776695296674i</v>
      </c>
      <c r="V12" t="str">
        <f t="shared" si="17"/>
        <v>-0.250616927427996+0.375074737810184i</v>
      </c>
      <c r="W12" t="str">
        <f t="shared" si="18"/>
        <v>0.103553390593265+0.103553390593285i</v>
      </c>
      <c r="X12" t="str">
        <f t="shared" si="19"/>
        <v>-0.113777677819628+0.0760238137911233i</v>
      </c>
      <c r="Y12" t="str">
        <f t="shared" si="20"/>
        <v>0.073223304703345+0.176776695296645i</v>
      </c>
      <c r="Z12" t="str">
        <f t="shared" si="21"/>
        <v>0.0743124079426279-0.0147816569895426i</v>
      </c>
      <c r="AA12" t="str">
        <f t="shared" si="22"/>
        <v>0</v>
      </c>
      <c r="AB12" t="str">
        <f t="shared" si="23"/>
        <v>-0.0743124079426268-0.0147816569895599i</v>
      </c>
      <c r="AC12" t="str">
        <f t="shared" si="24"/>
        <v>-0.0732233047033864+0.176776695296632i</v>
      </c>
      <c r="AD12" t="str">
        <f t="shared" si="25"/>
        <v>0.113777677819611+0.0760238137911494i</v>
      </c>
      <c r="AE12" t="str">
        <f t="shared" si="26"/>
        <v>-0.103553390593288+0.103553390593261i</v>
      </c>
      <c r="AF12" t="str">
        <f t="shared" si="27"/>
        <v>0.250616927427914+0.375074737810245i</v>
      </c>
      <c r="AG12" t="str">
        <f t="shared" si="28"/>
        <v>0.426776695296668-0.176776695296579i</v>
      </c>
      <c r="AH12" t="str">
        <f t="shared" si="29"/>
        <v>-0.01213099238462-0.0609866170939244i</v>
      </c>
      <c r="AI12" t="str">
        <f t="shared" si="30"/>
        <v>-6.77131961612787E-14+5.60801405313782E-14i</v>
      </c>
      <c r="AJ12" s="4">
        <f t="shared" si="31"/>
        <v>-6.7713196161278701E-14</v>
      </c>
      <c r="AK12" s="4">
        <f t="shared" si="32"/>
        <v>5.6080140531378201E-14</v>
      </c>
      <c r="AL12">
        <f t="shared" si="33"/>
        <v>8.7920754639589712E-14</v>
      </c>
    </row>
    <row r="13" spans="1:38" x14ac:dyDescent="0.25">
      <c r="A13" s="2">
        <v>8</v>
      </c>
      <c r="B13" t="str">
        <f t="shared" si="1"/>
        <v>-3.49145625605507E-15-i</v>
      </c>
      <c r="C13" t="str">
        <f t="shared" si="34"/>
        <v>0.5</v>
      </c>
      <c r="D13" t="str">
        <f t="shared" si="2"/>
        <v>-2.51511979351344E-15-0.769288196744546i</v>
      </c>
      <c r="E13" t="str">
        <f t="shared" si="3"/>
        <v>-0.461939766255643+3.02054250783298E-15i</v>
      </c>
      <c r="F13" t="str">
        <f t="shared" si="35"/>
        <v>-2.45414361957737E-15-0.25600822958521i</v>
      </c>
      <c r="G13" t="str">
        <f t="shared" si="36"/>
        <v>-0.853553390593274+1.11624696002688E-14i</v>
      </c>
      <c r="H13" t="str">
        <f t="shared" si="37"/>
        <v>1.39834285930147E-14+0.843946030794889i</v>
      </c>
      <c r="I13" t="str">
        <f t="shared" si="4"/>
        <v>0.191341716182545-3.66847622585572E-15i</v>
      </c>
      <c r="J13" t="str">
        <f t="shared" si="5"/>
        <v>1.43085529871252E-14+0.631338507103075i</v>
      </c>
      <c r="K13" t="str">
        <f t="shared" si="6"/>
        <v>1-2.61552932090403E-14i</v>
      </c>
      <c r="L13" t="str">
        <f t="shared" si="7"/>
        <v>-1.87171345477522E-14-0.631338507103075i</v>
      </c>
      <c r="M13" t="str">
        <f t="shared" si="8"/>
        <v>0.191341716182544-6.34072115389513E-15i</v>
      </c>
      <c r="N13" t="str">
        <f t="shared" si="9"/>
        <v>-3.0913457835021E-14-0.843946030794889i</v>
      </c>
      <c r="O13" t="str">
        <f t="shared" si="10"/>
        <v>-0.853553390593274+3.27293010992195E-14i</v>
      </c>
      <c r="P13" t="str">
        <f t="shared" si="11"/>
        <v>1.11651779826628E-14+0.25600822958521i</v>
      </c>
      <c r="Q13" t="str">
        <f t="shared" si="12"/>
        <v>-0.461939766255643+2.0938655089036E-14i</v>
      </c>
      <c r="R13" t="str">
        <f t="shared" si="13"/>
        <v>3.8922510958739E-14+0.769288196744546i</v>
      </c>
      <c r="S13" t="str">
        <f t="shared" si="14"/>
        <v>0.5-2.61552932090403E-14i</v>
      </c>
      <c r="T13" t="str">
        <f t="shared" si="15"/>
        <v>3.35939362169554E-15+0.0621814155579982i</v>
      </c>
      <c r="U13" t="str">
        <f t="shared" si="16"/>
        <v>0.461939766255642-2.73900250362915E-14i</v>
      </c>
      <c r="V13" t="str">
        <f t="shared" si="17"/>
        <v>-2.75208903494898E-14-0.451098551601337i</v>
      </c>
      <c r="W13" t="str">
        <f t="shared" si="18"/>
        <v>-0.146446609406726+9.70595573937012E-15i</v>
      </c>
      <c r="X13" t="str">
        <f t="shared" si="19"/>
        <v>-9.79005799955726E-15-0.136839249608342i</v>
      </c>
      <c r="Y13" t="str">
        <f t="shared" si="20"/>
        <v>-0.191341716182543+1.40175647718099E-14i</v>
      </c>
      <c r="Z13" t="str">
        <f t="shared" si="21"/>
        <v>5.68068265922908E-15+0.0757682740834706i</v>
      </c>
      <c r="AA13" t="str">
        <f t="shared" si="22"/>
        <v>0</v>
      </c>
      <c r="AB13" t="str">
        <f t="shared" si="23"/>
        <v>-5.94058290459226E-15-0.0757682740834728i</v>
      </c>
      <c r="AC13" t="str">
        <f t="shared" si="24"/>
        <v>-0.191341716182547+1.66898096998496E-14i</v>
      </c>
      <c r="AD13" t="str">
        <f t="shared" si="25"/>
        <v>1.21705168503905E-14+0.136839249608342i</v>
      </c>
      <c r="AE13" t="str">
        <f t="shared" si="26"/>
        <v>-0.146446609406726+1.32761683116462E-14i</v>
      </c>
      <c r="AF13" t="str">
        <f t="shared" si="27"/>
        <v>4.16681749555876E-14+0.45109855160134i</v>
      </c>
      <c r="AG13" t="str">
        <f t="shared" si="28"/>
        <v>0.461939766255644-4.67441348780584E-14i</v>
      </c>
      <c r="AH13" t="str">
        <f t="shared" si="29"/>
        <v>-6.39884531474025E-15-0.0621814155579989i</v>
      </c>
      <c r="AI13" t="str">
        <f t="shared" si="30"/>
        <v>3.62337188308658E-14-1.51753609678451E-14i</v>
      </c>
      <c r="AJ13" s="4">
        <f t="shared" si="31"/>
        <v>3.6233718830865799E-14</v>
      </c>
      <c r="AK13" s="4">
        <f t="shared" si="32"/>
        <v>-1.5175360967845099E-14</v>
      </c>
      <c r="AL13">
        <f t="shared" si="33"/>
        <v>3.9283252930716359E-14</v>
      </c>
    </row>
    <row r="14" spans="1:38" x14ac:dyDescent="0.25">
      <c r="A14" s="2">
        <v>9</v>
      </c>
      <c r="B14" t="str">
        <f t="shared" si="1"/>
        <v>-0.195090322016129-0.98078528040323i</v>
      </c>
      <c r="C14" t="str">
        <f t="shared" si="34"/>
        <v>0.5</v>
      </c>
      <c r="D14" t="str">
        <f t="shared" si="2"/>
        <v>-0.150080682026101-0.754506539754995i</v>
      </c>
      <c r="E14" t="str">
        <f t="shared" si="3"/>
        <v>-0.426776695296637+0.176776695296637i</v>
      </c>
      <c r="F14" t="str">
        <f t="shared" si="35"/>
        <v>-0.142230551765591-0.212863063399475i</v>
      </c>
      <c r="G14" t="str">
        <f t="shared" si="36"/>
        <v>-0.603553390593272+0.603553390593274i</v>
      </c>
      <c r="H14" t="str">
        <f t="shared" si="37"/>
        <v>0.701715479029299+0.468871292984682i</v>
      </c>
      <c r="I14" t="str">
        <f t="shared" si="4"/>
        <v>0.0732233047033626-0.176776695296637i</v>
      </c>
      <c r="J14" t="str">
        <f t="shared" si="5"/>
        <v>0.619207514718445+0.123168032651918i</v>
      </c>
      <c r="K14" t="str">
        <f t="shared" si="6"/>
        <v>-4.77775371349186E-15-0.999999999999997i</v>
      </c>
      <c r="L14" t="str">
        <f t="shared" si="7"/>
        <v>-0.619207514718444+0.123168032651924i</v>
      </c>
      <c r="M14" t="str">
        <f t="shared" si="8"/>
        <v>-0.0732233047033639-0.176776695296635i</v>
      </c>
      <c r="N14" t="str">
        <f t="shared" si="9"/>
        <v>-0.701715479029292+0.468871292984689i</v>
      </c>
      <c r="O14" t="str">
        <f t="shared" si="10"/>
        <v>0.603553390593275+0.603553390593268i</v>
      </c>
      <c r="P14" t="str">
        <f t="shared" si="11"/>
        <v>0.142230551765589-0.212863063399475i</v>
      </c>
      <c r="Q14" t="str">
        <f t="shared" si="12"/>
        <v>0.426776695296636+0.176776695296633i</v>
      </c>
      <c r="R14" t="str">
        <f t="shared" si="13"/>
        <v>0.150080682026093-0.754506539754993i</v>
      </c>
      <c r="S14" t="str">
        <f t="shared" si="14"/>
        <v>-0.499999999999998+4.77775371349185E-15i</v>
      </c>
      <c r="T14" t="str">
        <f t="shared" si="15"/>
        <v>-0.0121309923846292-0.0609866170939206i</v>
      </c>
      <c r="U14" t="str">
        <f t="shared" si="16"/>
        <v>-0.426776695296631+0.17677669529664i</v>
      </c>
      <c r="V14" t="str">
        <f t="shared" si="17"/>
        <v>0.250616927427963+0.375074737810198i</v>
      </c>
      <c r="W14" t="str">
        <f t="shared" si="18"/>
        <v>0.103553390593272-0.103553390593275i</v>
      </c>
      <c r="X14" t="str">
        <f t="shared" si="19"/>
        <v>0.113777677819619+0.0760238137911316i</v>
      </c>
      <c r="Y14" t="str">
        <f t="shared" si="20"/>
        <v>0.0732233047033592-0.176776695296635i</v>
      </c>
      <c r="Z14" t="str">
        <f t="shared" si="21"/>
        <v>-0.0743124079426252-0.0147816569895492i</v>
      </c>
      <c r="AA14" t="str">
        <f t="shared" si="22"/>
        <v>0</v>
      </c>
      <c r="AB14" t="str">
        <f t="shared" si="23"/>
        <v>0.0743124079426269-0.0147816569895517i</v>
      </c>
      <c r="AC14" t="str">
        <f t="shared" si="24"/>
        <v>-0.0732233047033654-0.176776695296636i</v>
      </c>
      <c r="AD14" t="str">
        <f t="shared" si="25"/>
        <v>-0.113777677819617+0.0760238137911349i</v>
      </c>
      <c r="AE14" t="str">
        <f t="shared" si="26"/>
        <v>-0.103553390593274-0.103553390593271i</v>
      </c>
      <c r="AF14" t="str">
        <f t="shared" si="27"/>
        <v>-0.250616927427953+0.375074737810206i</v>
      </c>
      <c r="AG14" t="str">
        <f t="shared" si="28"/>
        <v>0.426776695296637+0.176776695296628i</v>
      </c>
      <c r="AH14" t="str">
        <f t="shared" si="29"/>
        <v>0.0121309923846275-0.0609866170939213i</v>
      </c>
      <c r="AI14" t="str">
        <f t="shared" si="30"/>
        <v>5.65866797863634E-15+1.11716191852906E-15i</v>
      </c>
      <c r="AJ14" s="4">
        <f t="shared" si="31"/>
        <v>5.65866797863634E-15</v>
      </c>
      <c r="AK14" s="4">
        <f t="shared" si="32"/>
        <v>1.11716191852906E-15</v>
      </c>
      <c r="AL14">
        <f t="shared" si="33"/>
        <v>5.7678916464038928E-15</v>
      </c>
    </row>
    <row r="15" spans="1:38" x14ac:dyDescent="0.25">
      <c r="A15" s="2">
        <v>10</v>
      </c>
      <c r="B15" t="str">
        <f t="shared" si="1"/>
        <v>-0.382683432365089-0.923879532511287i</v>
      </c>
      <c r="C15" t="str">
        <f t="shared" si="34"/>
        <v>0.5</v>
      </c>
      <c r="D15" t="str">
        <f t="shared" si="2"/>
        <v>-0.294393847608153-0.710729619574803i</v>
      </c>
      <c r="E15" t="str">
        <f t="shared" si="3"/>
        <v>-0.326640741219095+0.326640741219093i</v>
      </c>
      <c r="F15" t="str">
        <f t="shared" si="35"/>
        <v>-0.236520763468225-0.0979701080113785i</v>
      </c>
      <c r="G15" t="str">
        <f t="shared" si="36"/>
        <v>-3.29386321076411E-15+0.853553390593274i</v>
      </c>
      <c r="H15" t="str">
        <f t="shared" si="37"/>
        <v>0.779704464395539-0.322964163795478i</v>
      </c>
      <c r="I15" t="str">
        <f t="shared" si="4"/>
        <v>-0.135299025036549-0.13529902503655i</v>
      </c>
      <c r="J15" t="str">
        <f t="shared" si="5"/>
        <v>0.24160278688246-0.58328072479876i</v>
      </c>
      <c r="K15" t="str">
        <f t="shared" si="6"/>
        <v>-0.999999999999999-7.71800158505531E-15i</v>
      </c>
      <c r="L15" t="str">
        <f t="shared" si="7"/>
        <v>0.241602786882452+0.583280724798764i</v>
      </c>
      <c r="M15" t="str">
        <f t="shared" si="8"/>
        <v>-0.13529902503655+0.135299025036547i</v>
      </c>
      <c r="N15" t="str">
        <f t="shared" si="9"/>
        <v>0.779704464395534+0.32296416379549i</v>
      </c>
      <c r="O15" t="str">
        <f t="shared" si="10"/>
        <v>8.36537422911868E-15-0.853553390593273i</v>
      </c>
      <c r="P15" t="str">
        <f t="shared" si="11"/>
        <v>-0.236520763468227+0.0979701080113747i</v>
      </c>
      <c r="Q15" t="str">
        <f t="shared" si="12"/>
        <v>-0.326640741219089-0.326640741219097i</v>
      </c>
      <c r="R15" t="str">
        <f t="shared" si="13"/>
        <v>-0.294393847608164+0.710729619574796i</v>
      </c>
      <c r="S15" t="str">
        <f t="shared" si="14"/>
        <v>0.499999999999999+7.7180015850553E-15i</v>
      </c>
      <c r="T15" t="str">
        <f t="shared" si="15"/>
        <v>0.0237957975350538+0.0574481371366137i</v>
      </c>
      <c r="U15" t="str">
        <f t="shared" si="16"/>
        <v>0.326640741219097-0.326640741219088i</v>
      </c>
      <c r="V15" t="str">
        <f t="shared" si="17"/>
        <v>-0.416760718969958-0.172627942061729i</v>
      </c>
      <c r="W15" t="str">
        <f t="shared" si="18"/>
        <v>-3.08582934504433E-15+0.146446609406726i</v>
      </c>
      <c r="X15" t="str">
        <f t="shared" si="19"/>
        <v>-0.126422981957351+0.0523661137223807i</v>
      </c>
      <c r="Y15" t="str">
        <f t="shared" si="20"/>
        <v>0.135299025036545+0.135299025036551i</v>
      </c>
      <c r="Z15" t="str">
        <f t="shared" si="21"/>
        <v>0.0289952631906427-0.0700007576394231i</v>
      </c>
      <c r="AA15" t="str">
        <f t="shared" si="22"/>
        <v>0</v>
      </c>
      <c r="AB15" t="str">
        <f t="shared" si="23"/>
        <v>0.0289952631906403+0.0700007576394265i</v>
      </c>
      <c r="AC15" t="str">
        <f t="shared" si="24"/>
        <v>0.135299025036554-0.135299025036547i</v>
      </c>
      <c r="AD15" t="str">
        <f t="shared" si="25"/>
        <v>-0.126422981957348-0.0523661137223866i</v>
      </c>
      <c r="AE15" t="str">
        <f t="shared" si="26"/>
        <v>3.69582163611817E-15-0.146446609406725i</v>
      </c>
      <c r="AF15" t="str">
        <f t="shared" si="27"/>
        <v>-0.416760718969967+0.172627942061711i</v>
      </c>
      <c r="AG15" t="str">
        <f t="shared" si="28"/>
        <v>0.326640741219084+0.326640741219104i</v>
      </c>
      <c r="AH15" t="str">
        <f t="shared" si="29"/>
        <v>0.0237957975350567-0.0574481371366131i</v>
      </c>
      <c r="AI15" t="str">
        <f t="shared" si="30"/>
        <v>-1.19071419391048E-14+2.98372437868011E-16i</v>
      </c>
      <c r="AJ15" s="4">
        <f t="shared" si="31"/>
        <v>-1.1907141939104801E-14</v>
      </c>
      <c r="AK15" s="4">
        <f t="shared" si="32"/>
        <v>2.9837243786801102E-16</v>
      </c>
      <c r="AL15">
        <f t="shared" si="33"/>
        <v>1.1910879701754516E-14</v>
      </c>
    </row>
    <row r="16" spans="1:38" x14ac:dyDescent="0.25">
      <c r="A16" s="2">
        <v>11</v>
      </c>
      <c r="B16" t="str">
        <f t="shared" si="1"/>
        <v>-0.5555702330196-0.831469612302547i</v>
      </c>
      <c r="C16" t="str">
        <f t="shared" si="34"/>
        <v>0.5</v>
      </c>
      <c r="D16" t="str">
        <f t="shared" si="2"/>
        <v>-0.427393622724596-0.639639758696114i</v>
      </c>
      <c r="E16" t="str">
        <f t="shared" si="3"/>
        <v>-0.176776695296639+0.426776695296636i</v>
      </c>
      <c r="F16" t="str">
        <f t="shared" si="35"/>
        <v>-0.251089103239265+0.0499447279485553i</v>
      </c>
      <c r="G16" t="str">
        <f t="shared" si="36"/>
        <v>0.603553390593267+0.603553390593282i</v>
      </c>
      <c r="H16" t="str">
        <f t="shared" si="37"/>
        <v>0.164645702912022-0.827729844458358i</v>
      </c>
      <c r="I16" t="str">
        <f t="shared" si="4"/>
        <v>-0.176776695296638+0.0732233047033601i</v>
      </c>
      <c r="J16" t="str">
        <f t="shared" si="5"/>
        <v>-0.524938783732655-0.350752881505514i</v>
      </c>
      <c r="K16" t="str">
        <f t="shared" si="6"/>
        <v>-2.3766470562403E-14+i</v>
      </c>
      <c r="L16" t="str">
        <f t="shared" si="7"/>
        <v>0.524938783732672-0.350752881505489i</v>
      </c>
      <c r="M16" t="str">
        <f t="shared" si="8"/>
        <v>0.176776695296634+0.0732233047033687i</v>
      </c>
      <c r="N16" t="str">
        <f t="shared" si="9"/>
        <v>-0.164645702911983-0.827729844458365i</v>
      </c>
      <c r="O16" t="str">
        <f t="shared" si="10"/>
        <v>-0.603553390593297+0.603553390593254i</v>
      </c>
      <c r="P16" t="str">
        <f t="shared" si="11"/>
        <v>0.251089103239263+0.0499447279485676i</v>
      </c>
      <c r="Q16" t="str">
        <f t="shared" si="12"/>
        <v>0.17677669529662+0.426776695296645i</v>
      </c>
      <c r="R16" t="str">
        <f t="shared" si="13"/>
        <v>0.427393622724628-0.639639758696094i</v>
      </c>
      <c r="S16" t="str">
        <f t="shared" si="14"/>
        <v>-0.5-2.37664705624031E-14i</v>
      </c>
      <c r="T16" t="str">
        <f t="shared" si="15"/>
        <v>-0.0345461435310435-0.0517019574864341i</v>
      </c>
      <c r="U16" t="str">
        <f t="shared" si="16"/>
        <v>-0.176776695296661+0.426776695296628i</v>
      </c>
      <c r="V16" t="str">
        <f t="shared" si="17"/>
        <v>0.442430819421815-0.0880049616928899i</v>
      </c>
      <c r="W16" t="str">
        <f t="shared" si="18"/>
        <v>-0.103553390593268-0.103553390593281i</v>
      </c>
      <c r="X16" t="str">
        <f t="shared" si="19"/>
        <v>0.0266960132705453-0.134209921797284i</v>
      </c>
      <c r="Y16" t="str">
        <f t="shared" si="20"/>
        <v>-0.176776695296641+0.0732233047033517i</v>
      </c>
      <c r="Z16" t="str">
        <f t="shared" si="21"/>
        <v>0.0629990174770136+0.0420945976880515i</v>
      </c>
      <c r="AA16" t="str">
        <f t="shared" si="22"/>
        <v>0</v>
      </c>
      <c r="AB16" t="str">
        <f t="shared" si="23"/>
        <v>-0.0629990174770215+0.0420945976880438i</v>
      </c>
      <c r="AC16" t="str">
        <f t="shared" si="24"/>
        <v>0.176776695296634+0.0732233047033782i</v>
      </c>
      <c r="AD16" t="str">
        <f t="shared" si="25"/>
        <v>-0.0266960132705263-0.134209921797288i</v>
      </c>
      <c r="AE16" t="str">
        <f t="shared" si="26"/>
        <v>0.103553390593282-0.103553390593266i</v>
      </c>
      <c r="AF16" t="str">
        <f t="shared" si="27"/>
        <v>-0.442430819421807-0.0880049616929536i</v>
      </c>
      <c r="AG16" t="str">
        <f t="shared" si="28"/>
        <v>0.176776695296598+0.426776695296657i</v>
      </c>
      <c r="AH16" t="str">
        <f t="shared" si="29"/>
        <v>0.0345461435310513-0.0517019574864299i</v>
      </c>
      <c r="AI16" t="str">
        <f t="shared" si="30"/>
        <v>-2.00256478066763E-14-5.37070388162419E-15i</v>
      </c>
      <c r="AJ16" s="4">
        <f t="shared" si="31"/>
        <v>-2.0025647806676299E-14</v>
      </c>
      <c r="AK16" s="4">
        <f t="shared" si="32"/>
        <v>-5.37070388162419E-15</v>
      </c>
      <c r="AL16">
        <f t="shared" si="33"/>
        <v>2.0733331383574913E-14</v>
      </c>
    </row>
    <row r="17" spans="1:38" x14ac:dyDescent="0.25">
      <c r="A17" s="2">
        <v>12</v>
      </c>
      <c r="B17" t="str">
        <f t="shared" si="1"/>
        <v>-0.707106781186544-0.707106781186551i</v>
      </c>
      <c r="C17" t="str">
        <f t="shared" si="34"/>
        <v>0.5</v>
      </c>
      <c r="D17" t="str">
        <f t="shared" si="2"/>
        <v>-0.543968900604837-0.543968900604842i</v>
      </c>
      <c r="E17" t="str">
        <f t="shared" si="3"/>
        <v>-4.59802596611875E-15+0.461939766255643i</v>
      </c>
      <c r="F17" t="str">
        <f t="shared" si="35"/>
        <v>-0.181025155179267+0.181025155179262i</v>
      </c>
      <c r="G17" t="str">
        <f t="shared" si="36"/>
        <v>0.853553390593274+1.69920883202102E-14i</v>
      </c>
      <c r="H17" t="str">
        <f t="shared" si="37"/>
        <v>-0.596759961330522-0.596759961330552i</v>
      </c>
      <c r="I17" t="str">
        <f t="shared" si="4"/>
        <v>-5.88363972903183E-15+0.191341716182545i</v>
      </c>
      <c r="J17" t="str">
        <f t="shared" si="5"/>
        <v>-0.446423739596791+0.44642373959676i</v>
      </c>
      <c r="K17" t="str">
        <f t="shared" si="6"/>
        <v>1+3.98149395397507E-14i</v>
      </c>
      <c r="L17" t="str">
        <f t="shared" si="7"/>
        <v>-0.446423739596756-0.446423739596796i</v>
      </c>
      <c r="M17" t="str">
        <f t="shared" si="8"/>
        <v>9.35287799344844E-15-0.191341716182544i</v>
      </c>
      <c r="N17" t="str">
        <f t="shared" si="9"/>
        <v>-0.596759961330568+0.596759961330505i</v>
      </c>
      <c r="O17" t="str">
        <f t="shared" si="10"/>
        <v>0.853553390593274+5.24924803638042E-14i</v>
      </c>
      <c r="P17" t="str">
        <f t="shared" si="11"/>
        <v>-0.181025155179252-0.181025155179276i</v>
      </c>
      <c r="Q17" t="str">
        <f t="shared" si="12"/>
        <v>3.25964666944208E-14-0.461939766255643i</v>
      </c>
      <c r="R17" t="str">
        <f t="shared" si="13"/>
        <v>-0.543968900604878+0.543968900604801i</v>
      </c>
      <c r="S17" t="str">
        <f t="shared" si="14"/>
        <v>0.5+3.98149395397507E-14i</v>
      </c>
      <c r="T17" t="str">
        <f t="shared" si="15"/>
        <v>0.0439689006048354+0.0439689006048431i</v>
      </c>
      <c r="U17" t="str">
        <f t="shared" si="16"/>
        <v>4.09719487634791E-14-0.461939766255642i</v>
      </c>
      <c r="V17" t="str">
        <f t="shared" si="17"/>
        <v>-0.318974844820766+0.318974844820704i</v>
      </c>
      <c r="W17" t="str">
        <f t="shared" si="18"/>
        <v>0.146446609406726+1.43167658120991E-14i</v>
      </c>
      <c r="X17" t="str">
        <f t="shared" si="19"/>
        <v>0.0967599613305267+0.0967599613305471i</v>
      </c>
      <c r="Y17" t="str">
        <f t="shared" si="20"/>
        <v>2.04403751191051E-14-0.191341716182543i</v>
      </c>
      <c r="Z17" t="str">
        <f t="shared" si="21"/>
        <v>-0.0535762604032292+0.0535762604032168i</v>
      </c>
      <c r="AA17" t="str">
        <f t="shared" si="22"/>
        <v>0</v>
      </c>
      <c r="AB17" t="str">
        <f t="shared" si="23"/>
        <v>-0.0535762604032179-0.0535762604032312i</v>
      </c>
      <c r="AC17" t="str">
        <f t="shared" si="24"/>
        <v>-2.52691780483359E-14+0.191341716182547i</v>
      </c>
      <c r="AD17" t="str">
        <f t="shared" si="25"/>
        <v>0.0967599613305501-0.0967599613305242i</v>
      </c>
      <c r="AE17" t="str">
        <f t="shared" si="26"/>
        <v>0.146446609406726+2.06678115838826E-14i</v>
      </c>
      <c r="AF17" t="str">
        <f t="shared" si="27"/>
        <v>-0.31897484482069-0.318974844820785i</v>
      </c>
      <c r="AG17" t="str">
        <f t="shared" si="28"/>
        <v>-6.60983949706543E-14+0.461939766255644i</v>
      </c>
      <c r="AH17" t="str">
        <f t="shared" si="29"/>
        <v>0.0439689006048463-0.0439689006048331i</v>
      </c>
      <c r="AI17" t="str">
        <f t="shared" si="30"/>
        <v>-1.43218770176645E-14-9.48546796664118E-15i</v>
      </c>
      <c r="AJ17" s="4">
        <f t="shared" si="31"/>
        <v>-1.43218770176645E-14</v>
      </c>
      <c r="AK17" s="4">
        <f t="shared" si="32"/>
        <v>-9.4854679666411796E-15</v>
      </c>
      <c r="AL17">
        <f t="shared" si="33"/>
        <v>1.717819151876246E-14</v>
      </c>
    </row>
    <row r="18" spans="1:38" x14ac:dyDescent="0.25">
      <c r="A18" s="2">
        <v>13</v>
      </c>
      <c r="B18" t="str">
        <f t="shared" si="1"/>
        <v>-0.831469612302547-0.5555702330196i</v>
      </c>
      <c r="C18" t="str">
        <f t="shared" si="34"/>
        <v>0.5</v>
      </c>
      <c r="D18" t="str">
        <f t="shared" si="2"/>
        <v>-0.639639758696114-0.427393622724596i</v>
      </c>
      <c r="E18" t="str">
        <f t="shared" si="3"/>
        <v>0.176776695296639+0.426776695296636i</v>
      </c>
      <c r="F18" t="str">
        <f t="shared" si="35"/>
        <v>-0.0499447279485553+0.251089103239265i</v>
      </c>
      <c r="G18" t="str">
        <f t="shared" si="36"/>
        <v>0.603553390593267-0.603553390593281i</v>
      </c>
      <c r="H18" t="str">
        <f t="shared" si="37"/>
        <v>-0.827729844458358+0.164645702912019i</v>
      </c>
      <c r="I18" t="str">
        <f t="shared" si="4"/>
        <v>0.176776695296638+0.0732233047033603i</v>
      </c>
      <c r="J18" t="str">
        <f t="shared" si="5"/>
        <v>0.350752881505514+0.524938783732655i</v>
      </c>
      <c r="K18" t="str">
        <f t="shared" si="6"/>
        <v>-2.22962924165127E-14-i</v>
      </c>
      <c r="L18" t="str">
        <f t="shared" si="7"/>
        <v>-0.350752881505491+0.524938783732671i</v>
      </c>
      <c r="M18" t="str">
        <f t="shared" si="8"/>
        <v>-0.176776695296635+0.0732233047033677i</v>
      </c>
      <c r="N18" t="str">
        <f t="shared" si="9"/>
        <v>0.827729844458365+0.164645702911983i</v>
      </c>
      <c r="O18" t="str">
        <f t="shared" si="10"/>
        <v>-0.603553390593295-0.603553390593255i</v>
      </c>
      <c r="P18" t="str">
        <f t="shared" si="11"/>
        <v>0.0499447279485664+0.251089103239263i</v>
      </c>
      <c r="Q18" t="str">
        <f t="shared" si="12"/>
        <v>-0.17677669529662+0.426776695296645i</v>
      </c>
      <c r="R18" t="str">
        <f t="shared" si="13"/>
        <v>0.639639758696097-0.427393622724624i</v>
      </c>
      <c r="S18" t="str">
        <f t="shared" si="14"/>
        <v>-0.5+2.22962924165128E-14i</v>
      </c>
      <c r="T18" t="str">
        <f t="shared" si="15"/>
        <v>-0.0517019574864341-0.0345461435310433i</v>
      </c>
      <c r="U18" t="str">
        <f t="shared" si="16"/>
        <v>0.176776695296658+0.426776695296629i</v>
      </c>
      <c r="V18" t="str">
        <f t="shared" si="17"/>
        <v>0.0880049616928904-0.442430819421815i</v>
      </c>
      <c r="W18" t="str">
        <f t="shared" si="18"/>
        <v>-0.103553390593269+0.10355339059328i</v>
      </c>
      <c r="X18" t="str">
        <f t="shared" si="19"/>
        <v>-0.134209921797284+0.0266960132705446i</v>
      </c>
      <c r="Y18" t="str">
        <f t="shared" si="20"/>
        <v>0.176776695296641+0.0732233047033517i</v>
      </c>
      <c r="Z18" t="str">
        <f t="shared" si="21"/>
        <v>-0.0420945976880509-0.062999017477014i</v>
      </c>
      <c r="AA18" t="str">
        <f t="shared" si="22"/>
        <v>0</v>
      </c>
      <c r="AB18" t="str">
        <f t="shared" si="23"/>
        <v>0.0420945976880437-0.0629990174770215i</v>
      </c>
      <c r="AC18" t="str">
        <f t="shared" si="24"/>
        <v>-0.176776695296634+0.0732233047033767i</v>
      </c>
      <c r="AD18" t="str">
        <f t="shared" si="25"/>
        <v>0.134209921797288+0.0266960132705277i</v>
      </c>
      <c r="AE18" t="str">
        <f t="shared" si="26"/>
        <v>0.103553390593282+0.103553390593265i</v>
      </c>
      <c r="AF18" t="str">
        <f t="shared" si="27"/>
        <v>-0.0880049616929504-0.442430819421807i</v>
      </c>
      <c r="AG18" t="str">
        <f t="shared" si="28"/>
        <v>-0.176776695296605+0.426776695296655i</v>
      </c>
      <c r="AH18" t="str">
        <f t="shared" si="29"/>
        <v>0.05170195748643-0.0345461435310511i</v>
      </c>
      <c r="AI18" t="str">
        <f t="shared" si="30"/>
        <v>1.30451205393456E-15+9.06913433240675E-15i</v>
      </c>
      <c r="AJ18" s="4">
        <f t="shared" si="31"/>
        <v>1.3045120539345599E-15</v>
      </c>
      <c r="AK18" s="4">
        <f t="shared" si="32"/>
        <v>9.0691343324067506E-15</v>
      </c>
      <c r="AL18">
        <f t="shared" si="33"/>
        <v>9.1624750607081824E-15</v>
      </c>
    </row>
    <row r="19" spans="1:38" x14ac:dyDescent="0.25">
      <c r="A19" s="2">
        <v>14</v>
      </c>
      <c r="B19" t="str">
        <f t="shared" si="1"/>
        <v>-0.923879532511287-0.382683432365089i</v>
      </c>
      <c r="C19" t="str">
        <f t="shared" si="34"/>
        <v>0.5</v>
      </c>
      <c r="D19" t="str">
        <f t="shared" si="2"/>
        <v>-0.710729619574803-0.294393847608153i</v>
      </c>
      <c r="E19" t="str">
        <f t="shared" si="3"/>
        <v>0.326640741219095+0.326640741219093i</v>
      </c>
      <c r="F19" t="str">
        <f t="shared" si="35"/>
        <v>0.0979701080113783+0.236520763468225i</v>
      </c>
      <c r="G19" t="str">
        <f t="shared" si="36"/>
        <v>-2.66642544016369E-15-0.853553390593274i</v>
      </c>
      <c r="H19" t="str">
        <f t="shared" si="37"/>
        <v>-0.322964163795479+0.779704464395539i</v>
      </c>
      <c r="I19" t="str">
        <f t="shared" si="4"/>
        <v>0.135299025036549-0.13529902503655i</v>
      </c>
      <c r="J19" t="str">
        <f t="shared" si="5"/>
        <v>0.58328072479876-0.241602786882459i</v>
      </c>
      <c r="K19" t="str">
        <f t="shared" si="6"/>
        <v>-0.999999999999999+6.24782343916496E-15i</v>
      </c>
      <c r="L19" t="str">
        <f t="shared" si="7"/>
        <v>0.583280724798764+0.241602786882452i</v>
      </c>
      <c r="M19" t="str">
        <f t="shared" si="8"/>
        <v>0.13529902503655+0.135299025036548i</v>
      </c>
      <c r="N19" t="str">
        <f t="shared" si="9"/>
        <v>-0.322964163795489-0.779704464395534i</v>
      </c>
      <c r="O19" t="str">
        <f t="shared" si="10"/>
        <v>6.48306091731743E-15+0.853553390593273i</v>
      </c>
      <c r="P19" t="str">
        <f t="shared" si="11"/>
        <v>0.097970108011375-0.236520763468227i</v>
      </c>
      <c r="Q19" t="str">
        <f t="shared" si="12"/>
        <v>0.32664074121909-0.326640741219097i</v>
      </c>
      <c r="R19" t="str">
        <f t="shared" si="13"/>
        <v>-0.710729619574797+0.294393847608164i</v>
      </c>
      <c r="S19" t="str">
        <f t="shared" si="14"/>
        <v>0.499999999999999-6.24782343916495E-15i</v>
      </c>
      <c r="T19" t="str">
        <f t="shared" si="15"/>
        <v>0.0574481371366136+0.0237957975350541i</v>
      </c>
      <c r="U19" t="str">
        <f t="shared" si="16"/>
        <v>-0.326640741219098-0.326640741219088i</v>
      </c>
      <c r="V19" t="str">
        <f t="shared" si="17"/>
        <v>0.172627942061725+0.416760718969959i</v>
      </c>
      <c r="W19" t="str">
        <f t="shared" si="18"/>
        <v>-2.54757283332056E-15-0.146446609406726i</v>
      </c>
      <c r="X19" t="str">
        <f t="shared" si="19"/>
        <v>0.0523661137223814-0.12642298195735i</v>
      </c>
      <c r="Y19" t="str">
        <f t="shared" si="20"/>
        <v>-0.135299025036545+0.135299025036551i</v>
      </c>
      <c r="Z19" t="str">
        <f t="shared" si="21"/>
        <v>0.0700007576394232-0.0289952631906426i</v>
      </c>
      <c r="AA19" t="str">
        <f t="shared" si="22"/>
        <v>0</v>
      </c>
      <c r="AB19" t="str">
        <f t="shared" si="23"/>
        <v>0.0700007576394263+0.0289952631906408i</v>
      </c>
      <c r="AC19" t="str">
        <f t="shared" si="24"/>
        <v>-0.135299025036553-0.135299025036547i</v>
      </c>
      <c r="AD19" t="str">
        <f t="shared" si="25"/>
        <v>0.0523661137223853+0.126422981957349i</v>
      </c>
      <c r="AE19" t="str">
        <f t="shared" si="26"/>
        <v>2.9422625197049E-15+0.146446609406725i</v>
      </c>
      <c r="AF19" t="str">
        <f t="shared" si="27"/>
        <v>0.172627942061711-0.416760718969967i</v>
      </c>
      <c r="AG19" t="str">
        <f t="shared" si="28"/>
        <v>-0.326640741219084+0.326640741219103i</v>
      </c>
      <c r="AH19" t="str">
        <f t="shared" si="29"/>
        <v>0.0574481371366134-0.0237957975350561i</v>
      </c>
      <c r="AI19" t="str">
        <f t="shared" si="30"/>
        <v>-3.21964677141295E-15+5.12437314803549E-15i</v>
      </c>
      <c r="AJ19" s="4">
        <f t="shared" si="31"/>
        <v>-3.21964677141295E-15</v>
      </c>
      <c r="AK19" s="4">
        <f t="shared" si="32"/>
        <v>5.1243731480354897E-15</v>
      </c>
      <c r="AL19">
        <f t="shared" si="33"/>
        <v>6.0518861103772425E-15</v>
      </c>
    </row>
    <row r="20" spans="1:38" x14ac:dyDescent="0.25">
      <c r="A20" s="2">
        <v>15</v>
      </c>
      <c r="B20" t="str">
        <f t="shared" si="1"/>
        <v>-0.98078528040323-0.195090322016129i</v>
      </c>
      <c r="C20" t="str">
        <f t="shared" si="34"/>
        <v>0.5</v>
      </c>
      <c r="D20" t="str">
        <f t="shared" si="2"/>
        <v>-0.754506539754995-0.150080682026101i</v>
      </c>
      <c r="E20" t="str">
        <f t="shared" si="3"/>
        <v>0.426776695296637+0.176776695296637i</v>
      </c>
      <c r="F20" t="str">
        <f t="shared" si="35"/>
        <v>0.212863063399475+0.142230551765591i</v>
      </c>
      <c r="G20" t="str">
        <f t="shared" si="36"/>
        <v>-0.603553390593271-0.603553390593275i</v>
      </c>
      <c r="H20" t="str">
        <f t="shared" si="37"/>
        <v>0.468871292984681+0.701715479029299i</v>
      </c>
      <c r="I20" t="str">
        <f t="shared" si="4"/>
        <v>-0.0732233047033624-0.176776695296637i</v>
      </c>
      <c r="J20" t="str">
        <f t="shared" si="5"/>
        <v>-0.123168032651916-0.619207514718445i</v>
      </c>
      <c r="K20" t="str">
        <f t="shared" si="6"/>
        <v>-6.2479318593822E-15+0.999999999999997i</v>
      </c>
      <c r="L20" t="str">
        <f t="shared" si="7"/>
        <v>0.123168032651924-0.619207514718444i</v>
      </c>
      <c r="M20" t="str">
        <f t="shared" si="8"/>
        <v>0.0732233047033643-0.176776695296635i</v>
      </c>
      <c r="N20" t="str">
        <f t="shared" si="9"/>
        <v>-0.468871292984691+0.70171547902929i</v>
      </c>
      <c r="O20" t="str">
        <f t="shared" si="10"/>
        <v>0.603553390593276-0.603553390593266i</v>
      </c>
      <c r="P20" t="str">
        <f t="shared" si="11"/>
        <v>-0.212863063399476+0.142230551765588i</v>
      </c>
      <c r="Q20" t="str">
        <f t="shared" si="12"/>
        <v>-0.426776695296637+0.17677669529663i</v>
      </c>
      <c r="R20" t="str">
        <f t="shared" si="13"/>
        <v>0.754506539754993-0.150080682026092i</v>
      </c>
      <c r="S20" t="str">
        <f t="shared" si="14"/>
        <v>-0.499999999999998-6.2479318593822E-15i</v>
      </c>
      <c r="T20" t="str">
        <f t="shared" si="15"/>
        <v>-0.0609866170939206-0.0121309923846294i</v>
      </c>
      <c r="U20" t="str">
        <f t="shared" si="16"/>
        <v>0.426776695296631+0.17677669529664i</v>
      </c>
      <c r="V20" t="str">
        <f t="shared" si="17"/>
        <v>-0.375074737810198-0.250616927427964i</v>
      </c>
      <c r="W20" t="str">
        <f t="shared" si="18"/>
        <v>0.103553390593271+0.103553390593275i</v>
      </c>
      <c r="X20" t="str">
        <f t="shared" si="19"/>
        <v>0.0760238137911317+0.113777677819619i</v>
      </c>
      <c r="Y20" t="str">
        <f t="shared" si="20"/>
        <v>-0.0732233047033578-0.176776695296636i</v>
      </c>
      <c r="Z20" t="str">
        <f t="shared" si="21"/>
        <v>0.0147816569895495+0.0743124079426251i</v>
      </c>
      <c r="AA20" t="str">
        <f t="shared" si="22"/>
        <v>0</v>
      </c>
      <c r="AB20" t="str">
        <f t="shared" si="23"/>
        <v>-0.0147816569895522+0.0743124079426268i</v>
      </c>
      <c r="AC20" t="str">
        <f t="shared" si="24"/>
        <v>0.0732233047033669-0.176776695296636i</v>
      </c>
      <c r="AD20" t="str">
        <f t="shared" si="25"/>
        <v>-0.076023813791136+0.113777677819616i</v>
      </c>
      <c r="AE20" t="str">
        <f t="shared" si="26"/>
        <v>-0.103553390593275+0.10355339059327i</v>
      </c>
      <c r="AF20" t="str">
        <f t="shared" si="27"/>
        <v>0.375074737810206-0.250616927427953i</v>
      </c>
      <c r="AG20" t="str">
        <f t="shared" si="28"/>
        <v>-0.426776695296637+0.176776695296627i</v>
      </c>
      <c r="AH20" t="str">
        <f t="shared" si="29"/>
        <v>0.0609866170939214-0.0121309923846272i</v>
      </c>
      <c r="AI20" t="str">
        <f t="shared" si="30"/>
        <v>-1.4363510381088E-15-1.59056795512313E-14i</v>
      </c>
      <c r="AJ20" s="4">
        <f t="shared" si="31"/>
        <v>-1.4363510381088E-15</v>
      </c>
      <c r="AK20" s="4">
        <f t="shared" si="32"/>
        <v>-1.59056795512313E-14</v>
      </c>
      <c r="AL20">
        <f t="shared" si="33"/>
        <v>1.5970402195659751E-14</v>
      </c>
    </row>
    <row r="21" spans="1:38" x14ac:dyDescent="0.25">
      <c r="A21" s="2">
        <v>16</v>
      </c>
      <c r="B21" t="str">
        <f t="shared" si="1"/>
        <v>-1-3.2311393144413E-15i</v>
      </c>
      <c r="C21" t="str">
        <f t="shared" si="34"/>
        <v>0.5</v>
      </c>
      <c r="D21" t="str">
        <f t="shared" si="2"/>
        <v>-0.769288196744546-2.48567733663696E-15i</v>
      </c>
      <c r="E21" t="str">
        <f t="shared" si="3"/>
        <v>0.461939766255643+2.98518347930487E-15i</v>
      </c>
      <c r="F21" t="str">
        <f t="shared" si="35"/>
        <v>0.25600822958521+2.36790427390825E-15i</v>
      </c>
      <c r="G21" t="str">
        <f t="shared" si="36"/>
        <v>-0.853553390593274-1.10317996692824E-14i</v>
      </c>
      <c r="H21" t="str">
        <f t="shared" si="37"/>
        <v>0.843946030794889+1.40093233228121E-14i</v>
      </c>
      <c r="I21" t="str">
        <f t="shared" si="4"/>
        <v>-0.191341716182545-3.53956486679882E-15i</v>
      </c>
      <c r="J21" t="str">
        <f t="shared" si="5"/>
        <v>-0.631338507103075-1.39992280783826E-14i</v>
      </c>
      <c r="K21" t="str">
        <f t="shared" si="6"/>
        <v>1+2.58491145155304E-14i</v>
      </c>
      <c r="L21" t="str">
        <f t="shared" si="7"/>
        <v>-0.631338507103075-1.86398546579602E-14i</v>
      </c>
      <c r="M21" t="str">
        <f t="shared" si="8"/>
        <v>-0.191341716182544-6.3524629996026E-15i</v>
      </c>
      <c r="N21" t="str">
        <f t="shared" si="9"/>
        <v>0.843946030794889+2.81220425631896E-14i</v>
      </c>
      <c r="O21" t="str">
        <f t="shared" si="10"/>
        <v>-0.853553390593274-3.15791836046736E-14i</v>
      </c>
      <c r="P21" t="str">
        <f t="shared" si="11"/>
        <v>0.25600822958521+1.04125058434579E-14i</v>
      </c>
      <c r="Q21" t="str">
        <f t="shared" si="12"/>
        <v>0.461939766255643+2.04859994235445E-14i</v>
      </c>
      <c r="R21" t="str">
        <f t="shared" si="13"/>
        <v>-0.769288196744546-3.69435274621151E-14i</v>
      </c>
      <c r="S21" t="str">
        <f t="shared" si="14"/>
        <v>0.5+2.58491145155304E-14i</v>
      </c>
      <c r="T21" t="str">
        <f t="shared" si="15"/>
        <v>0.0621814155579982+3.44319997513253E-15i</v>
      </c>
      <c r="U21" t="str">
        <f t="shared" si="16"/>
        <v>-0.461939766255642-2.72769362453333E-14i</v>
      </c>
      <c r="V21" t="str">
        <f t="shared" si="17"/>
        <v>0.451098551601337+2.8294667028601E-14i</v>
      </c>
      <c r="W21" t="str">
        <f t="shared" si="18"/>
        <v>-0.146446609406726-9.72392937864066E-15i</v>
      </c>
      <c r="X21" t="str">
        <f t="shared" si="19"/>
        <v>-0.136839249608342-9.58892443370655E-15i</v>
      </c>
      <c r="Y21" t="str">
        <f t="shared" si="20"/>
        <v>0.191341716182543+1.27518104007933E-14i</v>
      </c>
      <c r="Z21" t="str">
        <f t="shared" si="21"/>
        <v>-0.0757682740834706-5.86634564189073E-15i</v>
      </c>
      <c r="AA21" t="str">
        <f t="shared" si="22"/>
        <v>0</v>
      </c>
      <c r="AB21" t="str">
        <f t="shared" si="23"/>
        <v>-0.0757682740834728-6.42327708618672E-15i</v>
      </c>
      <c r="AC21" t="str">
        <f t="shared" si="24"/>
        <v>0.191341716182547+1.55647085335973E-14i</v>
      </c>
      <c r="AD21" t="str">
        <f t="shared" si="25"/>
        <v>-0.136839249608342-1.26064175141258E-14i</v>
      </c>
      <c r="AE21" t="str">
        <f t="shared" si="26"/>
        <v>-0.146446609406726-1.2989161683153E-14i</v>
      </c>
      <c r="AF21" t="str">
        <f t="shared" si="27"/>
        <v>0.45109855160134+4.48735696697188E-14i</v>
      </c>
      <c r="AG21" t="str">
        <f t="shared" si="28"/>
        <v>-0.461939766255644-4.43674672579835E-14i</v>
      </c>
      <c r="AH21" t="str">
        <f t="shared" si="29"/>
        <v>0.0621814155579989+6.64263274508656E-15i</v>
      </c>
      <c r="AI21" t="str">
        <f t="shared" si="30"/>
        <v>3.67761376907083E-15-1.1761981626265E-14i</v>
      </c>
      <c r="AJ21" s="4">
        <f t="shared" si="31"/>
        <v>3.6776137690708303E-15</v>
      </c>
      <c r="AK21" s="4">
        <f t="shared" si="32"/>
        <v>-1.1761981626265001E-14</v>
      </c>
      <c r="AL21">
        <f t="shared" si="33"/>
        <v>1.2323516333054248E-14</v>
      </c>
    </row>
    <row r="22" spans="1:38" x14ac:dyDescent="0.25">
      <c r="A22" s="2">
        <v>17</v>
      </c>
      <c r="B22" t="str">
        <f t="shared" si="1"/>
        <v>-0.98078528040323+0.195090322016133i</v>
      </c>
      <c r="C22" t="str">
        <f t="shared" si="34"/>
        <v>0.5</v>
      </c>
      <c r="D22" t="str">
        <f t="shared" si="2"/>
        <v>-0.754506539754995+0.150080682026104i</v>
      </c>
      <c r="E22" t="str">
        <f t="shared" si="3"/>
        <v>0.426776695296636-0.176776695296641i</v>
      </c>
      <c r="F22" t="str">
        <f t="shared" si="35"/>
        <v>0.212863063399473-0.142230551765594i</v>
      </c>
      <c r="G22" t="str">
        <f t="shared" si="36"/>
        <v>-0.603553390593263+0.603553390593286i</v>
      </c>
      <c r="H22" t="str">
        <f t="shared" si="37"/>
        <v>0.46887129298467-0.701715479029311i</v>
      </c>
      <c r="I22" t="str">
        <f t="shared" si="4"/>
        <v>-0.0732233047033582+0.176776695296639i</v>
      </c>
      <c r="J22" t="str">
        <f t="shared" si="5"/>
        <v>-0.123168032651899+0.619207514718452i</v>
      </c>
      <c r="K22" t="str">
        <f t="shared" si="6"/>
        <v>-3.82223549685869E-14-i</v>
      </c>
      <c r="L22" t="str">
        <f t="shared" si="7"/>
        <v>0.123168032651946+0.619207514718444i</v>
      </c>
      <c r="M22" t="str">
        <f t="shared" si="8"/>
        <v>0.0732233047033718+0.176776695296634i</v>
      </c>
      <c r="N22" t="str">
        <f t="shared" si="9"/>
        <v>-0.468871292984725-0.701715479029276i</v>
      </c>
      <c r="O22" t="str">
        <f t="shared" si="10"/>
        <v>0.603553390593312+0.603553390593243i</v>
      </c>
      <c r="P22" t="str">
        <f t="shared" si="11"/>
        <v>-0.212863063399485-0.142230551765579i</v>
      </c>
      <c r="Q22" t="str">
        <f t="shared" si="12"/>
        <v>-0.426776695296651-0.176776695296608i</v>
      </c>
      <c r="R22" t="str">
        <f t="shared" si="13"/>
        <v>0.754506539755011+0.150080682026046i</v>
      </c>
      <c r="S22" t="str">
        <f t="shared" si="14"/>
        <v>-0.500000000000005+3.8222354968587E-14i</v>
      </c>
      <c r="T22" t="str">
        <f t="shared" si="15"/>
        <v>-0.0609866170939206+0.0121309923846335i</v>
      </c>
      <c r="U22" t="str">
        <f t="shared" si="16"/>
        <v>0.426776695296625-0.176776695296673i</v>
      </c>
      <c r="V22" t="str">
        <f t="shared" si="17"/>
        <v>-0.375074737810184+0.250616927427997i</v>
      </c>
      <c r="W22" t="str">
        <f t="shared" si="18"/>
        <v>0.103553390593265-0.103553390593285i</v>
      </c>
      <c r="X22" t="str">
        <f t="shared" si="19"/>
        <v>0.0760238137911233-0.113777677819628i</v>
      </c>
      <c r="Y22" t="str">
        <f t="shared" si="20"/>
        <v>-0.0732233047033441+0.176776695296645i</v>
      </c>
      <c r="Z22" t="str">
        <f t="shared" si="21"/>
        <v>0.0147816569895424-0.0743124079426279i</v>
      </c>
      <c r="AA22" t="str">
        <f t="shared" si="22"/>
        <v>0</v>
      </c>
      <c r="AB22" t="str">
        <f t="shared" si="23"/>
        <v>-0.0147816569895599-0.0743124079426268i</v>
      </c>
      <c r="AC22" t="str">
        <f t="shared" si="24"/>
        <v>0.0732233047033861+0.176776695296632i</v>
      </c>
      <c r="AD22" t="str">
        <f t="shared" si="25"/>
        <v>-0.076023813791149-0.113777677819611i</v>
      </c>
      <c r="AE22" t="str">
        <f t="shared" si="26"/>
        <v>-0.103553390593289-0.10355339059326i</v>
      </c>
      <c r="AF22" t="str">
        <f t="shared" si="27"/>
        <v>0.375074737810247+0.250616927427911i</v>
      </c>
      <c r="AG22" t="str">
        <f t="shared" si="28"/>
        <v>-0.426776695296669-0.176776695296577i</v>
      </c>
      <c r="AH22" t="str">
        <f t="shared" si="29"/>
        <v>0.0609866170939244+0.0121309923846197i</v>
      </c>
      <c r="AI22" t="str">
        <f t="shared" si="30"/>
        <v>-1.98452365651747E-15+2.67806610221299E-14i</v>
      </c>
      <c r="AJ22" s="4">
        <f t="shared" si="31"/>
        <v>-1.9845236565174701E-15</v>
      </c>
      <c r="AK22" s="4">
        <f t="shared" si="32"/>
        <v>2.6780661022129901E-14</v>
      </c>
      <c r="AL22">
        <f t="shared" si="33"/>
        <v>2.6854089798864999E-14</v>
      </c>
    </row>
    <row r="23" spans="1:38" x14ac:dyDescent="0.25">
      <c r="A23" s="2">
        <v>18</v>
      </c>
      <c r="B23" t="str">
        <f t="shared" si="1"/>
        <v>-0.923879532511286+0.382683432365092i</v>
      </c>
      <c r="C23" t="str">
        <f t="shared" si="34"/>
        <v>0.5</v>
      </c>
      <c r="D23" t="str">
        <f t="shared" si="2"/>
        <v>-0.710729619574802+0.294393847608155i</v>
      </c>
      <c r="E23" t="str">
        <f t="shared" si="3"/>
        <v>0.326640741219093-0.326640741219096i</v>
      </c>
      <c r="F23" t="str">
        <f t="shared" si="35"/>
        <v>0.0979701080113762-0.236520763468226i</v>
      </c>
      <c r="G23" t="str">
        <f t="shared" si="36"/>
        <v>7.94708238205175E-15+0.853553390593274i</v>
      </c>
      <c r="H23" t="str">
        <f t="shared" si="37"/>
        <v>-0.322964163795491-0.779704464395534i</v>
      </c>
      <c r="I23" t="str">
        <f t="shared" si="4"/>
        <v>0.135299025036551+0.135299025036547i</v>
      </c>
      <c r="J23" t="str">
        <f t="shared" si="5"/>
        <v>0.583280724798766+0.241602786882447i</v>
      </c>
      <c r="K23" t="str">
        <f t="shared" si="6"/>
        <v>-1+1.86211723124385E-14i</v>
      </c>
      <c r="L23" t="str">
        <f t="shared" si="7"/>
        <v>0.583280724798758-0.241602786882469i</v>
      </c>
      <c r="M23" t="str">
        <f t="shared" si="8"/>
        <v>0.135299025036546-0.135299025036552i</v>
      </c>
      <c r="N23" t="str">
        <f t="shared" si="9"/>
        <v>-0.322964163795462+0.779704464395546i</v>
      </c>
      <c r="O23" t="str">
        <f t="shared" si="10"/>
        <v>-2.38412471461552E-14-0.853553390593274i</v>
      </c>
      <c r="P23" t="str">
        <f t="shared" si="11"/>
        <v>0.0979701080113852+0.236520763468223i</v>
      </c>
      <c r="Q23" t="str">
        <f t="shared" si="12"/>
        <v>0.326640741219105+0.326640741219083i</v>
      </c>
      <c r="R23" t="str">
        <f t="shared" si="13"/>
        <v>-0.710729619574812-0.294393847608129i</v>
      </c>
      <c r="S23" t="str">
        <f t="shared" si="14"/>
        <v>0.5-1.86211723124386E-14i</v>
      </c>
      <c r="T23" t="str">
        <f t="shared" si="15"/>
        <v>0.0574481371366125-0.023795797535057i</v>
      </c>
      <c r="U23" t="str">
        <f t="shared" si="16"/>
        <v>-0.32664074121908+0.326640741219107i</v>
      </c>
      <c r="V23" t="str">
        <f t="shared" si="17"/>
        <v>0.172627942061702-0.41676071896997i</v>
      </c>
      <c r="W23" t="str">
        <f t="shared" si="18"/>
        <v>6.81751887083757E-15+0.146446609406726i</v>
      </c>
      <c r="X23" t="str">
        <f t="shared" si="19"/>
        <v>0.0523661137223896+0.126422981957347i</v>
      </c>
      <c r="Y23" t="str">
        <f t="shared" si="20"/>
        <v>-0.135299025036555-0.135299025036541i</v>
      </c>
      <c r="Z23" t="str">
        <f t="shared" si="21"/>
        <v>0.0700007576394254+0.0289952631906376i</v>
      </c>
      <c r="AA23" t="str">
        <f t="shared" si="22"/>
        <v>0</v>
      </c>
      <c r="AB23" t="str">
        <f t="shared" si="23"/>
        <v>0.0700007576394244-0.0289952631906458i</v>
      </c>
      <c r="AC23" t="str">
        <f t="shared" si="24"/>
        <v>-0.135299025036542+0.135299025036559i</v>
      </c>
      <c r="AD23" t="str">
        <f t="shared" si="25"/>
        <v>0.0523661137223747-0.126422981957354i</v>
      </c>
      <c r="AE23" t="str">
        <f t="shared" si="26"/>
        <v>-9.54452641917257E-15-0.146446609406726i</v>
      </c>
      <c r="AF23" t="str">
        <f t="shared" si="27"/>
        <v>0.172627942061747+0.416760718969954i</v>
      </c>
      <c r="AG23" t="str">
        <f t="shared" si="28"/>
        <v>-0.326640741219118-0.326640741219072i</v>
      </c>
      <c r="AH23" t="str">
        <f t="shared" si="29"/>
        <v>0.057448137136616+0.0237957975350505i</v>
      </c>
      <c r="AI23" t="str">
        <f t="shared" si="30"/>
        <v>-8.4446338810551E-15+1.03701769393894E-14i</v>
      </c>
      <c r="AJ23" s="4">
        <f t="shared" si="31"/>
        <v>-8.4446338810551001E-15</v>
      </c>
      <c r="AK23" s="4">
        <f t="shared" si="32"/>
        <v>1.03701769393894E-14</v>
      </c>
      <c r="AL23">
        <f t="shared" si="33"/>
        <v>1.337357136816144E-14</v>
      </c>
    </row>
    <row r="24" spans="1:38" x14ac:dyDescent="0.25">
      <c r="A24" s="2">
        <v>19</v>
      </c>
      <c r="B24" t="str">
        <f t="shared" si="1"/>
        <v>-0.831469612302545+0.555570233019603i</v>
      </c>
      <c r="C24" t="str">
        <f t="shared" si="34"/>
        <v>0.5</v>
      </c>
      <c r="D24" t="str">
        <f t="shared" si="2"/>
        <v>-0.639639758696112+0.427393622724598i</v>
      </c>
      <c r="E24" t="str">
        <f t="shared" si="3"/>
        <v>0.176776695296637-0.426776695296637i</v>
      </c>
      <c r="F24" t="str">
        <f t="shared" si="35"/>
        <v>-0.0499447279485581-0.251089103239265i</v>
      </c>
      <c r="G24" t="str">
        <f t="shared" si="36"/>
        <v>0.603553390593276+0.603553390593273i</v>
      </c>
      <c r="H24" t="str">
        <f t="shared" si="37"/>
        <v>-0.82772984445836-0.164645702912005i</v>
      </c>
      <c r="I24" t="str">
        <f t="shared" si="4"/>
        <v>0.176776695296637-0.0732233047033641i</v>
      </c>
      <c r="J24" t="str">
        <f t="shared" si="5"/>
        <v>0.350752881505501-0.524938783732664i</v>
      </c>
      <c r="K24" t="str">
        <f t="shared" si="6"/>
        <v>6.12541701389137E-15+i</v>
      </c>
      <c r="L24" t="str">
        <f t="shared" si="7"/>
        <v>-0.350752881505508-0.52493878373266i</v>
      </c>
      <c r="M24" t="str">
        <f t="shared" si="8"/>
        <v>-0.176776695296637-0.0732233047033614i</v>
      </c>
      <c r="N24" t="str">
        <f t="shared" si="9"/>
        <v>0.827729844458359-0.164645702912015i</v>
      </c>
      <c r="O24" t="str">
        <f t="shared" si="10"/>
        <v>-0.60355339059327+0.603553390593281i</v>
      </c>
      <c r="P24" t="str">
        <f t="shared" si="11"/>
        <v>0.0499447279485559-0.251089103239266i</v>
      </c>
      <c r="Q24" t="str">
        <f t="shared" si="12"/>
        <v>-0.176776695296641-0.426776695296636i</v>
      </c>
      <c r="R24" t="str">
        <f t="shared" si="13"/>
        <v>0.639639758696119+0.427393622724592i</v>
      </c>
      <c r="S24" t="str">
        <f t="shared" si="14"/>
        <v>-0.5+6.1254170138914E-15i</v>
      </c>
      <c r="T24" t="str">
        <f t="shared" si="15"/>
        <v>-0.051701957486432+0.0345461435310467i</v>
      </c>
      <c r="U24" t="str">
        <f t="shared" si="16"/>
        <v>0.176776695296631-0.42677669529664i</v>
      </c>
      <c r="V24" t="str">
        <f t="shared" si="17"/>
        <v>0.088004961692922+0.442430819421809i</v>
      </c>
      <c r="W24" t="str">
        <f t="shared" si="18"/>
        <v>-0.103553390593276-0.103553390593272i</v>
      </c>
      <c r="X24" t="str">
        <f t="shared" si="19"/>
        <v>-0.134209921797286-0.026696013270535i</v>
      </c>
      <c r="Y24" t="str">
        <f t="shared" si="20"/>
        <v>0.176776695296635-0.0732233047033657i</v>
      </c>
      <c r="Z24" t="str">
        <f t="shared" si="21"/>
        <v>-0.042094597688046+0.0629990174770173i</v>
      </c>
      <c r="AA24" t="str">
        <f t="shared" si="22"/>
        <v>0</v>
      </c>
      <c r="AB24" t="str">
        <f t="shared" si="23"/>
        <v>0.0420945976880496+0.0629990174770177i</v>
      </c>
      <c r="AC24" t="str">
        <f t="shared" si="24"/>
        <v>-0.176776695296641-0.0732233047033618i</v>
      </c>
      <c r="AD24" t="str">
        <f t="shared" si="25"/>
        <v>0.134209921797286-0.0266960132705391i</v>
      </c>
      <c r="AE24" t="str">
        <f t="shared" si="26"/>
        <v>0.103553390593272-0.103553390593276i</v>
      </c>
      <c r="AF24" t="str">
        <f t="shared" si="27"/>
        <v>-0.0880049616929062+0.442430819421816i</v>
      </c>
      <c r="AG24" t="str">
        <f t="shared" si="28"/>
        <v>-0.176776695296648-0.426776695296637i</v>
      </c>
      <c r="AH24" t="str">
        <f t="shared" si="29"/>
        <v>0.051701957486434+0.0345461435310452i</v>
      </c>
      <c r="AI24" t="str">
        <f t="shared" si="30"/>
        <v>-6.93889390390723E-16+2.07472927726826E-15i</v>
      </c>
      <c r="AJ24" s="4">
        <f t="shared" si="31"/>
        <v>-6.9388939039072303E-16</v>
      </c>
      <c r="AK24" s="4">
        <f t="shared" si="32"/>
        <v>2.0747292772682601E-15</v>
      </c>
      <c r="AL24">
        <f t="shared" si="33"/>
        <v>2.1876892055433481E-15</v>
      </c>
    </row>
    <row r="25" spans="1:38" x14ac:dyDescent="0.25">
      <c r="A25" s="2">
        <v>20</v>
      </c>
      <c r="B25" t="str">
        <f t="shared" si="1"/>
        <v>-0.707106781186549+0.707106781186546i</v>
      </c>
      <c r="C25" t="str">
        <f t="shared" si="34"/>
        <v>0.5</v>
      </c>
      <c r="D25" t="str">
        <f t="shared" si="2"/>
        <v>-0.543968900604841+0.543968900604838i</v>
      </c>
      <c r="E25" t="str">
        <f t="shared" si="3"/>
        <v>1.96653293931457E-15-0.461939766255643i</v>
      </c>
      <c r="F25" t="str">
        <f t="shared" si="35"/>
        <v>-0.181025155179263-0.181025155179265i</v>
      </c>
      <c r="G25" t="str">
        <f t="shared" si="36"/>
        <v>0.853553390593274+7.26735813056797E-15i</v>
      </c>
      <c r="H25" t="str">
        <f t="shared" si="37"/>
        <v>-0.596759961330543+0.596759961330531i</v>
      </c>
      <c r="I25" t="str">
        <f t="shared" si="4"/>
        <v>2.27374825985085E-15-0.191341716182545i</v>
      </c>
      <c r="J25" t="str">
        <f t="shared" si="5"/>
        <v>-0.446423739596769-0.446423739596782i</v>
      </c>
      <c r="K25" t="str">
        <f t="shared" si="6"/>
        <v>1+1.70284793210573E-14i</v>
      </c>
      <c r="L25" t="str">
        <f t="shared" si="7"/>
        <v>-0.446423739596784+0.446423739596767i</v>
      </c>
      <c r="M25" t="str">
        <f t="shared" si="8"/>
        <v>-4.24276865468932E-15+0.191341716182544i</v>
      </c>
      <c r="N25" t="str">
        <f t="shared" si="9"/>
        <v>-0.596759961330522-0.596759961330551i</v>
      </c>
      <c r="O25" t="str">
        <f t="shared" si="10"/>
        <v>0.853553390593274+2.02858589885302E-14i</v>
      </c>
      <c r="P25" t="str">
        <f t="shared" si="11"/>
        <v>-0.181025155179269+0.18102515517926i</v>
      </c>
      <c r="Q25" t="str">
        <f t="shared" si="12"/>
        <v>-1.33554456436124E-14+0.461939766255643i</v>
      </c>
      <c r="R25" t="str">
        <f t="shared" si="13"/>
        <v>-0.543968900604821-0.543968900604858i</v>
      </c>
      <c r="S25" t="str">
        <f t="shared" si="14"/>
        <v>0.5+1.70284793210574E-14i</v>
      </c>
      <c r="T25" t="str">
        <f t="shared" si="15"/>
        <v>0.0439689006048407-0.0439689006048378i</v>
      </c>
      <c r="U25" t="str">
        <f t="shared" si="16"/>
        <v>-1.81090813854207E-14+0.461939766255642i</v>
      </c>
      <c r="V25" t="str">
        <f t="shared" si="17"/>
        <v>-0.318974844820723-0.318974844820748i</v>
      </c>
      <c r="W25" t="str">
        <f t="shared" si="18"/>
        <v>0.146446609406726+6.49454908603011E-15i</v>
      </c>
      <c r="X25" t="str">
        <f t="shared" si="19"/>
        <v>0.0967599613305411-0.0967599613305327i</v>
      </c>
      <c r="Y25" t="str">
        <f t="shared" si="20"/>
        <v>-9.47004750679783E-15+0.191341716182543i</v>
      </c>
      <c r="Z25" t="str">
        <f t="shared" si="21"/>
        <v>-0.0535762604032204-0.0535762604032256i</v>
      </c>
      <c r="AA25" t="str">
        <f t="shared" si="22"/>
        <v>0</v>
      </c>
      <c r="AB25" t="str">
        <f t="shared" si="23"/>
        <v>-0.0535762604032274+0.0535762604032217i</v>
      </c>
      <c r="AC25" t="str">
        <f t="shared" si="24"/>
        <v>1.00795032368227E-14-0.191341716182547i</v>
      </c>
      <c r="AD25" t="str">
        <f t="shared" si="25"/>
        <v>0.0967599613305314+0.0967599613305428i</v>
      </c>
      <c r="AE25" t="str">
        <f t="shared" si="26"/>
        <v>0.146446609406726+8.46802927349824E-15i</v>
      </c>
      <c r="AF25" t="str">
        <f t="shared" si="27"/>
        <v>-0.318974844820758+0.318974844820717i</v>
      </c>
      <c r="AG25" t="str">
        <f t="shared" si="28"/>
        <v>3.23699886108457E-14-0.461939766255644i</v>
      </c>
      <c r="AH25" t="str">
        <f t="shared" si="29"/>
        <v>0.043968900604837+0.0439689006048424i</v>
      </c>
      <c r="AI25" t="str">
        <f t="shared" si="30"/>
        <v>1.08385522779031E-14-1.0692835505921E-14i</v>
      </c>
      <c r="AJ25" s="4">
        <f t="shared" si="31"/>
        <v>1.08385522779031E-14</v>
      </c>
      <c r="AK25" s="4">
        <f t="shared" si="32"/>
        <v>-1.0692835505920999E-14</v>
      </c>
      <c r="AL25">
        <f t="shared" si="33"/>
        <v>1.5225338966260269E-14</v>
      </c>
    </row>
    <row r="26" spans="1:38" x14ac:dyDescent="0.25">
      <c r="A26" s="2">
        <v>21</v>
      </c>
      <c r="B26" t="str">
        <f t="shared" si="1"/>
        <v>-0.555570233019605+0.831469612302543i</v>
      </c>
      <c r="C26" t="str">
        <f t="shared" si="34"/>
        <v>0.5</v>
      </c>
      <c r="D26" t="str">
        <f t="shared" si="2"/>
        <v>-0.427393622724599+0.63963975869611i</v>
      </c>
      <c r="E26" t="str">
        <f t="shared" si="3"/>
        <v>-0.176776695296634-0.426776695296638i</v>
      </c>
      <c r="F26" t="str">
        <f t="shared" si="35"/>
        <v>-0.251089103239264-0.0499447279485599i</v>
      </c>
      <c r="G26" t="str">
        <f t="shared" si="36"/>
        <v>0.603553390593281-0.603553390593265i</v>
      </c>
      <c r="H26" t="str">
        <f t="shared" si="37"/>
        <v>0.164645702911995+0.82772984445836i</v>
      </c>
      <c r="I26" t="str">
        <f t="shared" si="4"/>
        <v>-0.176776695296635-0.0732233047033664i</v>
      </c>
      <c r="J26" t="str">
        <f t="shared" si="5"/>
        <v>-0.524938783732668+0.35075288150549i</v>
      </c>
      <c r="K26" t="str">
        <f t="shared" si="6"/>
        <v>2.59715209408039E-14-0.999999999999997i</v>
      </c>
      <c r="L26" t="str">
        <f t="shared" si="7"/>
        <v>0.52493878373265+0.350752881505518i</v>
      </c>
      <c r="M26" t="str">
        <f t="shared" si="8"/>
        <v>0.176776695296638-0.073223304703357i</v>
      </c>
      <c r="N26" t="str">
        <f t="shared" si="9"/>
        <v>-0.164645702912037+0.827729844458349i</v>
      </c>
      <c r="O26" t="str">
        <f t="shared" si="10"/>
        <v>-0.603553390593248-0.603553390593295i</v>
      </c>
      <c r="P26" t="str">
        <f t="shared" si="11"/>
        <v>0.251089103239265-0.0499447279485467i</v>
      </c>
      <c r="Q26" t="str">
        <f t="shared" si="12"/>
        <v>0.176776695296655-0.426776695296626i</v>
      </c>
      <c r="R26" t="str">
        <f t="shared" si="13"/>
        <v>0.427393622724562+0.639639758696131i</v>
      </c>
      <c r="S26" t="str">
        <f t="shared" si="14"/>
        <v>-0.499999999999998-2.59715209408039E-14i</v>
      </c>
      <c r="T26" t="str">
        <f t="shared" si="15"/>
        <v>-0.0345461435310483+0.0517019574864302i</v>
      </c>
      <c r="U26" t="str">
        <f t="shared" si="16"/>
        <v>-0.17677669529661-0.426776695296644i</v>
      </c>
      <c r="V26" t="str">
        <f t="shared" si="17"/>
        <v>0.4424308194218+0.0880049616929423i</v>
      </c>
      <c r="W26" t="str">
        <f t="shared" si="18"/>
        <v>-0.10355339059328+0.103553390593266i</v>
      </c>
      <c r="X26" t="str">
        <f t="shared" si="19"/>
        <v>0.0266960132705279+0.134209921797286i</v>
      </c>
      <c r="Y26" t="str">
        <f t="shared" si="20"/>
        <v>-0.176776695296629-0.0732233047033747i</v>
      </c>
      <c r="Z26" t="str">
        <f t="shared" si="21"/>
        <v>0.0629990174770191-0.0420945976880416i</v>
      </c>
      <c r="AA26" t="str">
        <f t="shared" si="22"/>
        <v>0</v>
      </c>
      <c r="AB26" t="str">
        <f t="shared" si="23"/>
        <v>-0.0629990174770143-0.0420945976880526i</v>
      </c>
      <c r="AC26" t="str">
        <f t="shared" si="24"/>
        <v>0.176776695296643-0.0732233047033482i</v>
      </c>
      <c r="AD26" t="str">
        <f t="shared" si="25"/>
        <v>-0.0266960132705488+0.134209921797282i</v>
      </c>
      <c r="AE26" t="str">
        <f t="shared" si="26"/>
        <v>0.103553390593263+0.103553390593282i</v>
      </c>
      <c r="AF26" t="str">
        <f t="shared" si="27"/>
        <v>-0.442430819421815+0.0880049616928738i</v>
      </c>
      <c r="AG26" t="str">
        <f t="shared" si="28"/>
        <v>0.17677669529668-0.426776695296615i</v>
      </c>
      <c r="AH26" t="str">
        <f t="shared" si="29"/>
        <v>0.0345461435310404+0.0517019574864359i</v>
      </c>
      <c r="AI26" t="str">
        <f t="shared" si="30"/>
        <v>1.69239622316297E-14+3.03923552991137E-15i</v>
      </c>
      <c r="AJ26" s="4">
        <f t="shared" si="31"/>
        <v>1.6923962231629698E-14</v>
      </c>
      <c r="AK26" s="4">
        <f t="shared" si="32"/>
        <v>3.03923552991137E-15</v>
      </c>
      <c r="AL26">
        <f t="shared" si="33"/>
        <v>1.7194692501580367E-14</v>
      </c>
    </row>
    <row r="27" spans="1:38" x14ac:dyDescent="0.25">
      <c r="A27" s="2">
        <v>22</v>
      </c>
      <c r="B27" t="str">
        <f t="shared" si="1"/>
        <v>-0.382683432365085+0.923879532511289i</v>
      </c>
      <c r="C27" t="str">
        <f t="shared" si="34"/>
        <v>0.5</v>
      </c>
      <c r="D27" t="str">
        <f t="shared" si="2"/>
        <v>-0.29439384760815+0.710729619574804i</v>
      </c>
      <c r="E27" t="str">
        <f t="shared" si="3"/>
        <v>-0.326640741219098-0.326640741219091i</v>
      </c>
      <c r="F27" t="str">
        <f t="shared" si="35"/>
        <v>-0.236520763468224+0.0979701080113818i</v>
      </c>
      <c r="G27" t="str">
        <f t="shared" si="36"/>
        <v>-1.84560172425005E-14-0.853553390593274i</v>
      </c>
      <c r="H27" t="str">
        <f t="shared" si="37"/>
        <v>0.779704464395548+0.322964163795462i</v>
      </c>
      <c r="I27" t="str">
        <f t="shared" si="4"/>
        <v>-0.135299025036545+0.135299025036554i</v>
      </c>
      <c r="J27" t="str">
        <f t="shared" si="5"/>
        <v>0.241602786882479+0.583280724798754i</v>
      </c>
      <c r="K27" t="str">
        <f t="shared" si="6"/>
        <v>-1+4.32451383730604E-14i</v>
      </c>
      <c r="L27" t="str">
        <f t="shared" si="7"/>
        <v>0.241602786882428-0.583280724798776i</v>
      </c>
      <c r="M27" t="str">
        <f t="shared" si="8"/>
        <v>-0.135299025036556-0.135299025036542i</v>
      </c>
      <c r="N27" t="str">
        <f t="shared" si="9"/>
        <v>0.77970446439552-0.322964163795529i</v>
      </c>
      <c r="O27" t="str">
        <f t="shared" si="10"/>
        <v>5.68842671306752E-14+0.853553390593274i</v>
      </c>
      <c r="P27" t="str">
        <f t="shared" si="11"/>
        <v>-0.236520763468233-0.0979701080113617i</v>
      </c>
      <c r="Q27" t="str">
        <f t="shared" si="12"/>
        <v>-0.32664074121907+0.32664074121912i</v>
      </c>
      <c r="R27" t="str">
        <f t="shared" si="13"/>
        <v>-0.294393847608211-0.710729619574781i</v>
      </c>
      <c r="S27" t="str">
        <f t="shared" si="14"/>
        <v>0.5-4.32451383730605E-14i</v>
      </c>
      <c r="T27" t="str">
        <f t="shared" si="15"/>
        <v>0.0237957975350495-0.0574481371366159i</v>
      </c>
      <c r="U27" t="str">
        <f t="shared" si="16"/>
        <v>0.326640741219127+0.326640741219062i</v>
      </c>
      <c r="V27" t="str">
        <f t="shared" si="17"/>
        <v>-0.416760718969947+0.172627942061762i</v>
      </c>
      <c r="W27" t="str">
        <f t="shared" si="18"/>
        <v>-1.55726182839219E-14-0.146446609406726i</v>
      </c>
      <c r="X27" t="str">
        <f t="shared" si="19"/>
        <v>-0.126422981957356-0.0523661137223693i</v>
      </c>
      <c r="Y27" t="str">
        <f t="shared" si="20"/>
        <v>0.135299025036533-0.135299025036565i</v>
      </c>
      <c r="Z27" t="str">
        <f t="shared" si="21"/>
        <v>0.0289952631906504+0.0700007576394205i</v>
      </c>
      <c r="AA27" t="str">
        <f t="shared" si="22"/>
        <v>0</v>
      </c>
      <c r="AB27" t="str">
        <f t="shared" si="23"/>
        <v>0.0289952631906331-0.0700007576394302i</v>
      </c>
      <c r="AC27" t="str">
        <f t="shared" si="24"/>
        <v>0.13529902503657+0.135299025036532i</v>
      </c>
      <c r="AD27" t="str">
        <f t="shared" si="25"/>
        <v>-0.126422981957343+0.0523661137224023i</v>
      </c>
      <c r="AE27" t="str">
        <f t="shared" si="26"/>
        <v>2.24260050444345E-14+0.146446609406727i</v>
      </c>
      <c r="AF27" t="str">
        <f t="shared" si="27"/>
        <v>-0.416760718969995-0.172627942061656i</v>
      </c>
      <c r="AG27" t="str">
        <f t="shared" si="28"/>
        <v>0.326640741219045-0.326640741219149i</v>
      </c>
      <c r="AH27" t="str">
        <f t="shared" si="29"/>
        <v>0.0237957975350647+0.0574481371366105i</v>
      </c>
      <c r="AI27" t="str">
        <f t="shared" si="30"/>
        <v>-3.50483531086354E-14+9.71445146547012E-17i</v>
      </c>
      <c r="AJ27" s="4">
        <f t="shared" si="31"/>
        <v>-3.5048353108635398E-14</v>
      </c>
      <c r="AK27" s="4">
        <f t="shared" si="32"/>
        <v>9.7144514654701197E-17</v>
      </c>
      <c r="AL27">
        <f t="shared" si="33"/>
        <v>3.5048487737480489E-14</v>
      </c>
    </row>
    <row r="28" spans="1:38" x14ac:dyDescent="0.25">
      <c r="A28" s="2">
        <v>23</v>
      </c>
      <c r="B28" t="str">
        <f t="shared" si="1"/>
        <v>-0.195090322016126+0.980785280403231i</v>
      </c>
      <c r="C28" t="str">
        <f t="shared" si="34"/>
        <v>0.5</v>
      </c>
      <c r="D28" t="str">
        <f t="shared" si="2"/>
        <v>-0.150080682026098+0.754506539754996i</v>
      </c>
      <c r="E28" t="str">
        <f t="shared" si="3"/>
        <v>-0.426776695296638-0.176776695296635i</v>
      </c>
      <c r="F28" t="str">
        <f t="shared" si="35"/>
        <v>-0.142230551765589+0.212863063399476i</v>
      </c>
      <c r="G28" t="str">
        <f t="shared" si="36"/>
        <v>-0.60355339059328-0.603553390593267i</v>
      </c>
      <c r="H28" t="str">
        <f t="shared" si="37"/>
        <v>0.701715479029292-0.468871292984694i</v>
      </c>
      <c r="I28" t="str">
        <f t="shared" si="4"/>
        <v>0.0732233047033658+0.176776695296636i</v>
      </c>
      <c r="J28" t="str">
        <f t="shared" si="5"/>
        <v>0.619207514718444-0.123168032651932i</v>
      </c>
      <c r="K28" t="str">
        <f t="shared" si="6"/>
        <v>2.00912420381116E-14+i</v>
      </c>
      <c r="L28" t="str">
        <f t="shared" si="7"/>
        <v>-0.619207514718449-0.123168032651907i</v>
      </c>
      <c r="M28" t="str">
        <f t="shared" si="8"/>
        <v>-0.0732233047033585+0.176776695296638i</v>
      </c>
      <c r="N28" t="str">
        <f t="shared" si="9"/>
        <v>-0.701715479029311-0.468871292984665i</v>
      </c>
      <c r="O28" t="str">
        <f t="shared" si="10"/>
        <v>0.603553390593255-0.603553390593292i</v>
      </c>
      <c r="P28" t="str">
        <f t="shared" si="11"/>
        <v>0.142230551765598+0.212863063399471i</v>
      </c>
      <c r="Q28" t="str">
        <f t="shared" si="12"/>
        <v>0.42677669529663-0.176776695296652i</v>
      </c>
      <c r="R28" t="str">
        <f t="shared" si="13"/>
        <v>0.150080682026128+0.754506539754989i</v>
      </c>
      <c r="S28" t="str">
        <f t="shared" si="14"/>
        <v>-0.5+2.00912420381117E-14i</v>
      </c>
      <c r="T28" t="str">
        <f t="shared" si="15"/>
        <v>-0.0121309923846259+0.0609866170939216i</v>
      </c>
      <c r="U28" t="str">
        <f t="shared" si="16"/>
        <v>-0.426776695296644-0.176776695296617i</v>
      </c>
      <c r="V28" t="str">
        <f t="shared" si="17"/>
        <v>0.250616927427941-0.375074737810217i</v>
      </c>
      <c r="W28" t="str">
        <f t="shared" si="18"/>
        <v>0.103553390593279+0.103553390593269i</v>
      </c>
      <c r="X28" t="str">
        <f t="shared" si="19"/>
        <v>0.113777677819615-0.0760238137911394i</v>
      </c>
      <c r="Y28" t="str">
        <f t="shared" si="20"/>
        <v>0.0732233047033724+0.176776695296632i</v>
      </c>
      <c r="Z28" t="str">
        <f t="shared" si="21"/>
        <v>-0.0743124079426246+0.0147816569895551i</v>
      </c>
      <c r="AA28" t="str">
        <f t="shared" si="22"/>
        <v>0</v>
      </c>
      <c r="AB28" t="str">
        <f t="shared" si="23"/>
        <v>0.0743124079426286+0.0147816569895466i</v>
      </c>
      <c r="AC28" t="str">
        <f t="shared" si="24"/>
        <v>-0.0732233047033522+0.176776695296643i</v>
      </c>
      <c r="AD28" t="str">
        <f t="shared" si="25"/>
        <v>-0.113777677819625-0.0760238137911259i</v>
      </c>
      <c r="AE28" t="str">
        <f t="shared" si="26"/>
        <v>-0.103553390593266+0.103553390593281i</v>
      </c>
      <c r="AF28" t="str">
        <f t="shared" si="27"/>
        <v>-0.250616927427988-0.375074737810189i</v>
      </c>
      <c r="AG28" t="str">
        <f t="shared" si="28"/>
        <v>0.426776695296625-0.176776695296669i</v>
      </c>
      <c r="AH28" t="str">
        <f t="shared" si="29"/>
        <v>0.0121309923846336+0.0609866170939208i</v>
      </c>
      <c r="AI28" t="str">
        <f t="shared" si="30"/>
        <v>-2.16042461698152E-14-6.08540995372664E-15i</v>
      </c>
      <c r="AJ28" s="4">
        <f t="shared" si="31"/>
        <v>-2.16042461698152E-14</v>
      </c>
      <c r="AK28" s="4">
        <f t="shared" si="32"/>
        <v>-6.0854099537266401E-15</v>
      </c>
      <c r="AL28">
        <f t="shared" si="33"/>
        <v>2.2444947468659622E-14</v>
      </c>
    </row>
    <row r="29" spans="1:38" x14ac:dyDescent="0.25">
      <c r="A29" s="2">
        <v>24</v>
      </c>
      <c r="B29" t="str">
        <f t="shared" si="1"/>
        <v>-1.83772268236293E-16+i</v>
      </c>
      <c r="C29" t="str">
        <f t="shared" si="34"/>
        <v>0.5</v>
      </c>
      <c r="D29" t="str">
        <f t="shared" si="2"/>
        <v>-1.23691681438581E-16+0.769288196744546i</v>
      </c>
      <c r="E29" t="str">
        <f t="shared" si="3"/>
        <v>-0.461939766255643-1.48547986705896E-16i</v>
      </c>
      <c r="F29" t="str">
        <f t="shared" si="35"/>
        <v>-1.80333771745187E-16+0.25600822958521i</v>
      </c>
      <c r="G29" t="str">
        <f t="shared" si="36"/>
        <v>-0.853553390593274-5.48961778053345E-16i</v>
      </c>
      <c r="H29" t="str">
        <f t="shared" si="37"/>
        <v>4.91084858029942E-16-0.843946030794889i</v>
      </c>
      <c r="I29" t="str">
        <f t="shared" si="4"/>
        <v>0.191341716182545+2.69564563821262E-16i</v>
      </c>
      <c r="J29" t="str">
        <f t="shared" si="5"/>
        <v>8.50763286293712E-16-0.631338507103075i</v>
      </c>
      <c r="K29" t="str">
        <f t="shared" si="6"/>
        <v>1+1.2862974574368E-15i</v>
      </c>
      <c r="L29" t="str">
        <f t="shared" si="7"/>
        <v>-7.73414946643549E-16+0.631338507103075i</v>
      </c>
      <c r="M29" t="str">
        <f t="shared" si="8"/>
        <v>0.191341716182544+2.2268016223314E-16i</v>
      </c>
      <c r="N29" t="str">
        <f t="shared" si="9"/>
        <v>-9.30471757277154E-16+0.843946030794889i</v>
      </c>
      <c r="O29" t="str">
        <f t="shared" si="10"/>
        <v>-0.853553390593274-2.40499303574685E-15i</v>
      </c>
      <c r="P29" t="str">
        <f t="shared" si="11"/>
        <v>2.508907130683E-16-0.25600822958521i</v>
      </c>
      <c r="Q29" t="str">
        <f t="shared" si="12"/>
        <v>-0.461939766255643-1.24497837273607E-15i</v>
      </c>
      <c r="R29" t="str">
        <f t="shared" si="13"/>
        <v>6.59661165541295E-16-0.769288196744546i</v>
      </c>
      <c r="S29" t="str">
        <f t="shared" si="14"/>
        <v>0.5+1.2862974574368E-15i</v>
      </c>
      <c r="T29" t="str">
        <f t="shared" si="15"/>
        <v>2.66614903014442E-16-0.0621814155579982i</v>
      </c>
      <c r="U29" t="str">
        <f t="shared" si="16"/>
        <v>0.461939766255642+1.13178941455827E-15i</v>
      </c>
      <c r="V29" t="str">
        <f t="shared" si="17"/>
        <v>-1.87890643331115E-15+0.451098551601337i</v>
      </c>
      <c r="W29" t="str">
        <f t="shared" si="18"/>
        <v>-0.146446609406726-3.40864035211973E-16i</v>
      </c>
      <c r="X29" t="str">
        <f t="shared" si="19"/>
        <v>-6.70445219502351E-17+0.136839249608342i</v>
      </c>
      <c r="Y29" t="str">
        <f t="shared" si="20"/>
        <v>-0.191341716182543-4.21918123672218E-16i</v>
      </c>
      <c r="Z29" t="str">
        <f t="shared" si="21"/>
        <v>2.97022984120052E-16-0.0757682740834706i</v>
      </c>
      <c r="AA29" t="str">
        <f t="shared" si="22"/>
        <v>0</v>
      </c>
      <c r="AB29" t="str">
        <f t="shared" si="23"/>
        <v>-5.56923229483074E-16+0.0757682740834728i</v>
      </c>
      <c r="AC29" t="str">
        <f t="shared" si="24"/>
        <v>-0.191341716182547-3.75033722084102E-16i</v>
      </c>
      <c r="AD29" t="str">
        <f t="shared" si="25"/>
        <v>5.02900677262032E-16-0.136839249608342i</v>
      </c>
      <c r="AE29" t="str">
        <f t="shared" si="26"/>
        <v>-0.146446609406726-7.89379372768697E-16i</v>
      </c>
      <c r="AF29" t="str">
        <f t="shared" si="27"/>
        <v>3.20519908131938E-15-0.45109855160134i</v>
      </c>
      <c r="AG29" t="str">
        <f t="shared" si="28"/>
        <v>0.461939766255644+7.92222540024906E-16i</v>
      </c>
      <c r="AH29" t="str">
        <f t="shared" si="29"/>
        <v>-2.13287877378006E-16+0.0621814155579989i</v>
      </c>
      <c r="AI29" t="str">
        <f t="shared" si="30"/>
        <v>1.06346860094092E-15-1.08246744900953E-15i</v>
      </c>
      <c r="AJ29" s="4">
        <f t="shared" si="31"/>
        <v>1.0634686009409199E-15</v>
      </c>
      <c r="AK29" s="4">
        <f t="shared" si="32"/>
        <v>-1.08246744900953E-15</v>
      </c>
      <c r="AL29">
        <f t="shared" si="33"/>
        <v>1.5174654010396538E-15</v>
      </c>
    </row>
    <row r="30" spans="1:38" x14ac:dyDescent="0.25">
      <c r="A30" s="2">
        <v>25</v>
      </c>
      <c r="B30" t="str">
        <f t="shared" si="1"/>
        <v>0.195090322016127+0.980785280403231i</v>
      </c>
      <c r="C30" t="str">
        <f t="shared" si="34"/>
        <v>0.5</v>
      </c>
      <c r="D30" t="str">
        <f t="shared" si="2"/>
        <v>0.150080682026099+0.754506539754996i</v>
      </c>
      <c r="E30" t="str">
        <f t="shared" si="3"/>
        <v>-0.426776695296638+0.176776695296636i</v>
      </c>
      <c r="F30" t="str">
        <f t="shared" si="35"/>
        <v>0.14223055176559+0.212863063399476i</v>
      </c>
      <c r="G30" t="str">
        <f t="shared" si="36"/>
        <v>-0.603553390593278+0.603553390593272i</v>
      </c>
      <c r="H30" t="str">
        <f t="shared" si="37"/>
        <v>-0.701715479029297-0.468871292984691i</v>
      </c>
      <c r="I30" t="str">
        <f t="shared" si="4"/>
        <v>0.0732233047033645-0.176776695296637i</v>
      </c>
      <c r="J30" t="str">
        <f t="shared" si="5"/>
        <v>-0.619207514718447-0.123168032651927i</v>
      </c>
      <c r="K30" t="str">
        <f t="shared" si="6"/>
        <v>1.02293390771835E-14-i</v>
      </c>
      <c r="L30" t="str">
        <f t="shared" si="7"/>
        <v>0.61920751471845-0.123168032651914i</v>
      </c>
      <c r="M30" t="str">
        <f t="shared" si="8"/>
        <v>-0.0732233047033608-0.176776695296638i</v>
      </c>
      <c r="N30" t="str">
        <f t="shared" si="9"/>
        <v>0.701715479029308-0.468871292984677i</v>
      </c>
      <c r="O30" t="str">
        <f t="shared" si="10"/>
        <v>0.603553390593268+0.603553390593286i</v>
      </c>
      <c r="P30" t="str">
        <f t="shared" si="11"/>
        <v>-0.142230551765595+0.212863063399474i</v>
      </c>
      <c r="Q30" t="str">
        <f t="shared" si="12"/>
        <v>0.426776695296636+0.176776695296646i</v>
      </c>
      <c r="R30" t="str">
        <f t="shared" si="13"/>
        <v>-0.150080682026115+0.754506539754997i</v>
      </c>
      <c r="S30" t="str">
        <f t="shared" si="14"/>
        <v>-0.500000000000005-1.02293390771836E-14i</v>
      </c>
      <c r="T30" t="str">
        <f t="shared" si="15"/>
        <v>0.0121309923846272+0.0609866170939218i</v>
      </c>
      <c r="U30" t="str">
        <f t="shared" si="16"/>
        <v>-0.426776695296643+0.176776695296629i</v>
      </c>
      <c r="V30" t="str">
        <f t="shared" si="17"/>
        <v>-0.250616927427953-0.375074737810213i</v>
      </c>
      <c r="W30" t="str">
        <f t="shared" si="18"/>
        <v>0.103553390593277-0.103553390593272i</v>
      </c>
      <c r="X30" t="str">
        <f t="shared" si="19"/>
        <v>-0.113777677819618-0.0760238137911374i</v>
      </c>
      <c r="Y30" t="str">
        <f t="shared" si="20"/>
        <v>0.0732233047033682-0.176776695296635i</v>
      </c>
      <c r="Z30" t="str">
        <f t="shared" si="21"/>
        <v>0.0743124079426259+0.0147816569895529i</v>
      </c>
      <c r="AA30" t="str">
        <f t="shared" si="22"/>
        <v>0</v>
      </c>
      <c r="AB30" t="str">
        <f t="shared" si="23"/>
        <v>-0.0743124079426289+0.0147816569895488i</v>
      </c>
      <c r="AC30" t="str">
        <f t="shared" si="24"/>
        <v>-0.0732233047033587-0.176776695296643i</v>
      </c>
      <c r="AD30" t="str">
        <f t="shared" si="25"/>
        <v>0.113777677819623-0.0760238137911308i</v>
      </c>
      <c r="AE30" t="str">
        <f t="shared" si="26"/>
        <v>-0.103553390593271-0.103553390593279i</v>
      </c>
      <c r="AF30" t="str">
        <f t="shared" si="27"/>
        <v>0.250616927427977-0.375074737810202i</v>
      </c>
      <c r="AG30" t="str">
        <f t="shared" si="28"/>
        <v>0.426776695296637+0.176776695296655i</v>
      </c>
      <c r="AH30" t="str">
        <f t="shared" si="29"/>
        <v>-0.0121309923846312+0.0609866170939221i</v>
      </c>
      <c r="AI30" t="str">
        <f t="shared" si="30"/>
        <v>2.12833223267594E-14+6.25888230132432E-15i</v>
      </c>
      <c r="AJ30" s="4">
        <f t="shared" si="31"/>
        <v>2.1283322326759399E-14</v>
      </c>
      <c r="AK30" s="4">
        <f t="shared" si="32"/>
        <v>6.25888230132432E-15</v>
      </c>
      <c r="AL30">
        <f t="shared" si="33"/>
        <v>2.2184531027870883E-14</v>
      </c>
    </row>
    <row r="31" spans="1:38" x14ac:dyDescent="0.25">
      <c r="A31" s="2">
        <v>26</v>
      </c>
      <c r="B31" t="str">
        <f t="shared" si="1"/>
        <v>0.382683432365086+0.923879532511288i</v>
      </c>
      <c r="C31" t="str">
        <f t="shared" si="34"/>
        <v>0.5</v>
      </c>
      <c r="D31" t="str">
        <f t="shared" si="2"/>
        <v>0.294393847608151+0.710729619574803i</v>
      </c>
      <c r="E31" t="str">
        <f t="shared" si="3"/>
        <v>-0.326640741219097+0.326640741219091i</v>
      </c>
      <c r="F31" t="str">
        <f t="shared" si="35"/>
        <v>0.236520763468224+0.0979701080113806i</v>
      </c>
      <c r="G31" t="str">
        <f t="shared" si="36"/>
        <v>-1.34890791859126E-14+0.853553390593273i</v>
      </c>
      <c r="H31" t="str">
        <f t="shared" si="37"/>
        <v>-0.779704464395543+0.322964163795466i</v>
      </c>
      <c r="I31" t="str">
        <f t="shared" si="4"/>
        <v>-0.135299025036546-0.135299025036552i</v>
      </c>
      <c r="J31" t="str">
        <f t="shared" si="5"/>
        <v>-0.241602786882472+0.583280724798754i</v>
      </c>
      <c r="K31" t="str">
        <f t="shared" si="6"/>
        <v>-0.999999999999997-3.16068785727318E-14i</v>
      </c>
      <c r="L31" t="str">
        <f t="shared" si="7"/>
        <v>-0.241602786882436-0.583280724798769i</v>
      </c>
      <c r="M31" t="str">
        <f t="shared" si="8"/>
        <v>-0.135299025036554+0.135299025036543i</v>
      </c>
      <c r="N31" t="str">
        <f t="shared" si="9"/>
        <v>-0.77970446439552-0.322964163795515i</v>
      </c>
      <c r="O31" t="str">
        <f t="shared" si="10"/>
        <v>4.04672375577377E-14-0.85355339059327i</v>
      </c>
      <c r="P31" t="str">
        <f t="shared" si="11"/>
        <v>0.23652076346823-0.0979701080113655i</v>
      </c>
      <c r="Q31" t="str">
        <f t="shared" si="12"/>
        <v>-0.326640741219074-0.326640741219111i</v>
      </c>
      <c r="R31" t="str">
        <f t="shared" si="13"/>
        <v>0.294393847608194-0.710729619574781i</v>
      </c>
      <c r="S31" t="str">
        <f t="shared" si="14"/>
        <v>0.499999999999998+3.16068785727318E-14i</v>
      </c>
      <c r="T31" t="str">
        <f t="shared" si="15"/>
        <v>-0.0237957975350508-0.0574481371366147i</v>
      </c>
      <c r="U31" t="str">
        <f t="shared" si="16"/>
        <v>0.326640741219114-0.326640741219069i</v>
      </c>
      <c r="V31" t="str">
        <f t="shared" si="17"/>
        <v>0.416760718969946+0.172627942061751i</v>
      </c>
      <c r="W31" t="str">
        <f t="shared" si="18"/>
        <v>-1.15718005022667E-14+0.146446609406725i</v>
      </c>
      <c r="X31" t="str">
        <f t="shared" si="19"/>
        <v>0.126422981957353-0.0523661137223726i</v>
      </c>
      <c r="Y31" t="str">
        <f t="shared" si="20"/>
        <v>0.135299025036535+0.135299025036559i</v>
      </c>
      <c r="Z31" t="str">
        <f t="shared" si="21"/>
        <v>-0.0289952631906476+0.0700007576394207i</v>
      </c>
      <c r="AA31" t="str">
        <f t="shared" si="22"/>
        <v>0</v>
      </c>
      <c r="AB31" t="str">
        <f t="shared" si="23"/>
        <v>-0.0289952631906351-0.0700007576394282i</v>
      </c>
      <c r="AC31" t="str">
        <f t="shared" si="24"/>
        <v>0.135299025036563-0.135299025036536i</v>
      </c>
      <c r="AD31" t="str">
        <f t="shared" si="25"/>
        <v>0.126422981957343+0.0523661137223967i</v>
      </c>
      <c r="AE31" t="str">
        <f t="shared" si="26"/>
        <v>1.67208035756264E-14-0.146446609406724i</v>
      </c>
      <c r="AF31" t="str">
        <f t="shared" si="27"/>
        <v>0.416760718969981-0.172627942061671i</v>
      </c>
      <c r="AG31" t="str">
        <f t="shared" si="28"/>
        <v>0.326640741219052+0.326640741219131i</v>
      </c>
      <c r="AH31" t="str">
        <f t="shared" si="29"/>
        <v>-0.0237957975350619+0.0574481371366105i</v>
      </c>
      <c r="AI31" t="str">
        <f t="shared" si="30"/>
        <v>8.2201606632637E-14+1.25829902053454E-13i</v>
      </c>
      <c r="AJ31" s="4">
        <f t="shared" si="31"/>
        <v>8.2201606632637006E-14</v>
      </c>
      <c r="AK31" s="4">
        <f t="shared" si="32"/>
        <v>1.2582990205345401E-13</v>
      </c>
      <c r="AL31">
        <f t="shared" si="33"/>
        <v>1.5030059342453915E-13</v>
      </c>
    </row>
    <row r="32" spans="1:38" x14ac:dyDescent="0.25">
      <c r="A32" s="2">
        <v>27</v>
      </c>
      <c r="B32" t="str">
        <f t="shared" si="1"/>
        <v>0.555570233019606+0.831469612302543i</v>
      </c>
      <c r="C32" t="str">
        <f t="shared" si="34"/>
        <v>0.5</v>
      </c>
      <c r="D32" t="str">
        <f t="shared" si="2"/>
        <v>0.4273936227246+0.63963975869611i</v>
      </c>
      <c r="E32" t="str">
        <f t="shared" si="3"/>
        <v>-0.176776695296633+0.426776695296639i</v>
      </c>
      <c r="F32" t="str">
        <f t="shared" si="35"/>
        <v>0.251089103239264-0.0499447279485607i</v>
      </c>
      <c r="G32" t="str">
        <f t="shared" si="36"/>
        <v>0.603553390593285+0.603553390593264i</v>
      </c>
      <c r="H32" t="str">
        <f t="shared" si="37"/>
        <v>-0.16464570291199+0.827729844458363i</v>
      </c>
      <c r="I32" t="str">
        <f t="shared" si="4"/>
        <v>-0.176776695296635+0.0732233047033679i</v>
      </c>
      <c r="J32" t="str">
        <f t="shared" si="5"/>
        <v>0.524938783732673+0.350752881505488i</v>
      </c>
      <c r="K32" t="str">
        <f t="shared" si="6"/>
        <v>3.49452454820321E-14+i</v>
      </c>
      <c r="L32" t="str">
        <f t="shared" si="7"/>
        <v>-0.524938783732649+0.350752881505525i</v>
      </c>
      <c r="M32" t="str">
        <f t="shared" si="8"/>
        <v>0.17677669529664+0.0732233047033553i</v>
      </c>
      <c r="N32" t="str">
        <f t="shared" si="9"/>
        <v>0.164645702912048+0.827729844458353i</v>
      </c>
      <c r="O32" t="str">
        <f t="shared" si="10"/>
        <v>-0.603553390593243+0.603553390593307i</v>
      </c>
      <c r="P32" t="str">
        <f t="shared" si="11"/>
        <v>-0.251089103239268-0.0499447279485436i</v>
      </c>
      <c r="Q32" t="str">
        <f t="shared" si="12"/>
        <v>0.176776695296664+0.426776695296627i</v>
      </c>
      <c r="R32" t="str">
        <f t="shared" si="13"/>
        <v>-0.427393622724557+0.639639758696142i</v>
      </c>
      <c r="S32" t="str">
        <f t="shared" si="14"/>
        <v>-0.5+3.49452454820322E-14i</v>
      </c>
      <c r="T32" t="str">
        <f t="shared" si="15"/>
        <v>0.0345461435310498+0.0517019574864299i</v>
      </c>
      <c r="U32" t="str">
        <f t="shared" si="16"/>
        <v>-0.176776695296604+0.426776695296651i</v>
      </c>
      <c r="V32" t="str">
        <f t="shared" si="17"/>
        <v>-0.442430819421804+0.0880049616929504i</v>
      </c>
      <c r="W32" t="str">
        <f t="shared" si="18"/>
        <v>-0.103553390593283-0.103553390593265i</v>
      </c>
      <c r="X32" t="str">
        <f t="shared" si="19"/>
        <v>-0.0266960132705245+0.134209921797288i</v>
      </c>
      <c r="Y32" t="str">
        <f t="shared" si="20"/>
        <v>-0.176776695296629+0.0732233047033798i</v>
      </c>
      <c r="Z32" t="str">
        <f t="shared" si="21"/>
        <v>-0.0629990174770207-0.0420945976880408i</v>
      </c>
      <c r="AA32" t="str">
        <f t="shared" si="22"/>
        <v>0</v>
      </c>
      <c r="AB32" t="str">
        <f t="shared" si="23"/>
        <v>0.0629990174770139-0.0420945976880552i</v>
      </c>
      <c r="AC32" t="str">
        <f t="shared" si="24"/>
        <v>0.176776695296648+0.0732233047033443i</v>
      </c>
      <c r="AD32" t="str">
        <f t="shared" si="25"/>
        <v>0.026696013270553+0.134209921797283i</v>
      </c>
      <c r="AE32" t="str">
        <f t="shared" si="26"/>
        <v>0.103553390593261-0.103553390593287i</v>
      </c>
      <c r="AF32" t="str">
        <f t="shared" si="27"/>
        <v>0.442430819421825+0.0880049616928593i</v>
      </c>
      <c r="AG32" t="str">
        <f t="shared" si="28"/>
        <v>0.176776695296694+0.426776695296618i</v>
      </c>
      <c r="AH32" t="str">
        <f t="shared" si="29"/>
        <v>-0.0345461435310394+0.0517019574864379i</v>
      </c>
      <c r="AI32" t="str">
        <f t="shared" si="30"/>
        <v>3.73874542436425E-13+8.00000000000006i</v>
      </c>
      <c r="AJ32" s="4">
        <f t="shared" si="31"/>
        <v>3.7387454243642502E-13</v>
      </c>
      <c r="AK32" s="4">
        <f t="shared" si="32"/>
        <v>8.0000000000000604</v>
      </c>
      <c r="AL32">
        <f t="shared" si="33"/>
        <v>8.0000000000000604</v>
      </c>
    </row>
    <row r="33" spans="1:38" x14ac:dyDescent="0.25">
      <c r="A33" s="2">
        <v>28</v>
      </c>
      <c r="B33" t="str">
        <f t="shared" si="1"/>
        <v>0.707106781186549+0.707106781186546i</v>
      </c>
      <c r="C33" t="str">
        <f t="shared" si="34"/>
        <v>0.5</v>
      </c>
      <c r="D33" t="str">
        <f t="shared" si="2"/>
        <v>0.543968900604841+0.543968900604838i</v>
      </c>
      <c r="E33" t="str">
        <f t="shared" si="3"/>
        <v>1.97715066459497E-15+0.461939766255643i</v>
      </c>
      <c r="F33" t="str">
        <f t="shared" si="35"/>
        <v>0.181025155179263-0.181025155179265i</v>
      </c>
      <c r="G33" t="str">
        <f t="shared" si="36"/>
        <v>0.853553390593274-7.3065961268415E-15i</v>
      </c>
      <c r="H33" t="str">
        <f t="shared" si="37"/>
        <v>0.596759961330543+0.596759961330531i</v>
      </c>
      <c r="I33" t="str">
        <f t="shared" si="4"/>
        <v>2.4144014646152E-15+0.191341716182545i</v>
      </c>
      <c r="J33" t="str">
        <f t="shared" si="5"/>
        <v>0.446423739596769-0.446423739596782i</v>
      </c>
      <c r="K33" t="str">
        <f t="shared" si="6"/>
        <v>1-1.71204196652841E-14i</v>
      </c>
      <c r="L33" t="str">
        <f t="shared" si="7"/>
        <v>0.446423739596784+0.446423739596767i</v>
      </c>
      <c r="M33" t="str">
        <f t="shared" si="8"/>
        <v>-4.13729949642649E-15-0.191341716182544i</v>
      </c>
      <c r="N33" t="str">
        <f t="shared" si="9"/>
        <v>0.596759961330522-0.596759961330551i</v>
      </c>
      <c r="O33" t="str">
        <f t="shared" si="10"/>
        <v>0.853553390593274-2.15407345297311E-14i</v>
      </c>
      <c r="P33" t="str">
        <f t="shared" si="11"/>
        <v>0.181025155179269+0.181025155179259i</v>
      </c>
      <c r="Q33" t="str">
        <f t="shared" si="12"/>
        <v>-1.41477683508569E-14-0.461939766255643i</v>
      </c>
      <c r="R33" t="str">
        <f t="shared" si="13"/>
        <v>0.543968900604822-0.543968900604857i</v>
      </c>
      <c r="S33" t="str">
        <f t="shared" si="14"/>
        <v>0.5-1.71204196652841E-14i</v>
      </c>
      <c r="T33" t="str">
        <f t="shared" si="15"/>
        <v>-0.0439689006048409-0.0439689006048376i</v>
      </c>
      <c r="U33" t="str">
        <f t="shared" si="16"/>
        <v>-1.74866422826624E-14-0.461939766255642i</v>
      </c>
      <c r="V33" t="str">
        <f t="shared" si="17"/>
        <v>0.318974844820723-0.318974844820748i</v>
      </c>
      <c r="W33" t="str">
        <f t="shared" si="18"/>
        <v>0.146446609406726-6.33310388805939E-15i</v>
      </c>
      <c r="X33" t="str">
        <f t="shared" si="19"/>
        <v>-0.0967599613305414-0.0967599613305325i</v>
      </c>
      <c r="Y33" t="str">
        <f t="shared" si="20"/>
        <v>-9.30599359186028E-15-0.191341716182543i</v>
      </c>
      <c r="Z33" t="str">
        <f t="shared" si="21"/>
        <v>0.0535762604032205-0.0535762604032255i</v>
      </c>
      <c r="AA33" t="str">
        <f t="shared" si="22"/>
        <v>0</v>
      </c>
      <c r="AB33" t="str">
        <f t="shared" si="23"/>
        <v>0.0535762604032274+0.0535762604032217i</v>
      </c>
      <c r="AC33" t="str">
        <f t="shared" si="24"/>
        <v>1.06890004574683E-14+0.191341716182547i</v>
      </c>
      <c r="AD33" t="str">
        <f t="shared" si="25"/>
        <v>-0.0967599613305314+0.0967599613305428i</v>
      </c>
      <c r="AE33" t="str">
        <f t="shared" si="26"/>
        <v>0.146446609406726-8.97040201777375E-15i</v>
      </c>
      <c r="AF33" t="str">
        <f t="shared" si="27"/>
        <v>0.318974844820756+0.318974844820718i</v>
      </c>
      <c r="AG33" t="str">
        <f t="shared" si="28"/>
        <v>2.91444038044375E-14+0.461939766255644i</v>
      </c>
      <c r="AH33" t="str">
        <f t="shared" si="29"/>
        <v>-0.0439689006048368+0.0439689006048426i</v>
      </c>
      <c r="AI33" t="str">
        <f t="shared" si="30"/>
        <v>7.99999999999999-1.49935619475627E-13i</v>
      </c>
      <c r="AJ33" s="4">
        <f t="shared" si="31"/>
        <v>7.9999999999999902</v>
      </c>
      <c r="AK33" s="4">
        <f t="shared" si="32"/>
        <v>-1.4993561947562701E-13</v>
      </c>
      <c r="AL33">
        <f t="shared" si="33"/>
        <v>7.9999999999999902</v>
      </c>
    </row>
    <row r="34" spans="1:38" x14ac:dyDescent="0.25">
      <c r="A34" s="2">
        <v>29</v>
      </c>
      <c r="B34" t="str">
        <f t="shared" si="1"/>
        <v>0.831469612302545+0.555570233019602i</v>
      </c>
      <c r="C34" t="str">
        <f t="shared" si="34"/>
        <v>0.5</v>
      </c>
      <c r="D34" t="str">
        <f t="shared" si="2"/>
        <v>0.639639758696112+0.427393622724597i</v>
      </c>
      <c r="E34" t="str">
        <f t="shared" si="3"/>
        <v>0.176776695296637+0.426776695296637i</v>
      </c>
      <c r="F34" t="str">
        <f t="shared" si="35"/>
        <v>0.0499447279485574-0.251089103239264i</v>
      </c>
      <c r="G34" t="str">
        <f t="shared" si="36"/>
        <v>0.603553390593273-0.603553390593273i</v>
      </c>
      <c r="H34" t="str">
        <f t="shared" si="37"/>
        <v>0.827729844458358-0.164645702912009i</v>
      </c>
      <c r="I34" t="str">
        <f t="shared" si="4"/>
        <v>0.176776695296637+0.0732233047033628i</v>
      </c>
      <c r="J34" t="str">
        <f t="shared" si="5"/>
        <v>-0.350752881505503-0.52493878373266i</v>
      </c>
      <c r="K34" t="str">
        <f t="shared" si="6"/>
        <v>-1.07195068793642E-15-0.999999999999997i</v>
      </c>
      <c r="L34" t="str">
        <f t="shared" si="7"/>
        <v>0.350752881505502-0.524938783732661i</v>
      </c>
      <c r="M34" t="str">
        <f t="shared" si="8"/>
        <v>-0.176776695296636+0.0732233047033629i</v>
      </c>
      <c r="N34" t="str">
        <f t="shared" si="9"/>
        <v>-0.827729844458355-0.164645702912006i</v>
      </c>
      <c r="O34" t="str">
        <f t="shared" si="10"/>
        <v>-0.603553390593272-0.603553390593271i</v>
      </c>
      <c r="P34" t="str">
        <f t="shared" si="11"/>
        <v>-0.0499447279485577-0.251089103239263i</v>
      </c>
      <c r="Q34" t="str">
        <f t="shared" si="12"/>
        <v>-0.176776695296635+0.426776695296635i</v>
      </c>
      <c r="R34" t="str">
        <f t="shared" si="13"/>
        <v>-0.639639758696108+0.427393622724596i</v>
      </c>
      <c r="S34" t="str">
        <f t="shared" si="14"/>
        <v>-0.499999999999998+1.07195068793642E-15i</v>
      </c>
      <c r="T34" t="str">
        <f t="shared" si="15"/>
        <v>0.051701957486432+0.0345461435310455i</v>
      </c>
      <c r="U34" t="str">
        <f t="shared" si="16"/>
        <v>0.176776695296637+0.426776695296633i</v>
      </c>
      <c r="V34" t="str">
        <f t="shared" si="17"/>
        <v>-0.088004961692912+0.442430819421806i</v>
      </c>
      <c r="W34" t="str">
        <f t="shared" si="18"/>
        <v>-0.103553390593273+0.103553390593273i</v>
      </c>
      <c r="X34" t="str">
        <f t="shared" si="19"/>
        <v>0.134209921797284-0.0266960132705369i</v>
      </c>
      <c r="Y34" t="str">
        <f t="shared" si="20"/>
        <v>0.176776695296634+0.0732233047033615i</v>
      </c>
      <c r="Z34" t="str">
        <f t="shared" si="21"/>
        <v>0.0420945976880467+0.0629990174770157i</v>
      </c>
      <c r="AA34" t="str">
        <f t="shared" si="22"/>
        <v>0</v>
      </c>
      <c r="AB34" t="str">
        <f t="shared" si="23"/>
        <v>-0.0420945976880475+0.0629990174770177i</v>
      </c>
      <c r="AC34" t="str">
        <f t="shared" si="24"/>
        <v>-0.176776695296637+0.0732233047033637i</v>
      </c>
      <c r="AD34" t="str">
        <f t="shared" si="25"/>
        <v>-0.134209921797284-0.0266960132705362i</v>
      </c>
      <c r="AE34" t="str">
        <f t="shared" si="26"/>
        <v>0.103553390593273+0.103553390593272i</v>
      </c>
      <c r="AF34" t="str">
        <f t="shared" si="27"/>
        <v>0.0880049616929161+0.442430819421807i</v>
      </c>
      <c r="AG34" t="str">
        <f t="shared" si="28"/>
        <v>-0.176776695296634+0.426776695296634i</v>
      </c>
      <c r="AH34" t="str">
        <f t="shared" si="29"/>
        <v>-0.051701957486432+0.0345461435310461i</v>
      </c>
      <c r="AI34" t="str">
        <f t="shared" si="30"/>
        <v>1.3988810110277E-14-1.00752739484733E-14i</v>
      </c>
      <c r="AJ34" s="4">
        <f t="shared" si="31"/>
        <v>1.3988810110276999E-14</v>
      </c>
      <c r="AK34" s="4">
        <f t="shared" si="32"/>
        <v>-1.00752739484733E-14</v>
      </c>
      <c r="AL34">
        <f t="shared" si="33"/>
        <v>1.7239430194706923E-14</v>
      </c>
    </row>
    <row r="35" spans="1:38" x14ac:dyDescent="0.25">
      <c r="A35" s="2">
        <v>30</v>
      </c>
      <c r="B35" t="str">
        <f t="shared" si="1"/>
        <v>0.923879532511286+0.382683432365092i</v>
      </c>
      <c r="C35" t="str">
        <f t="shared" si="34"/>
        <v>0.5</v>
      </c>
      <c r="D35" t="str">
        <f t="shared" si="2"/>
        <v>0.710729619574802+0.294393847608155i</v>
      </c>
      <c r="E35" t="str">
        <f t="shared" si="3"/>
        <v>0.326640741219093+0.326640741219096i</v>
      </c>
      <c r="F35" t="str">
        <f t="shared" si="35"/>
        <v>-0.0979701080113762-0.236520763468226i</v>
      </c>
      <c r="G35" t="str">
        <f t="shared" si="36"/>
        <v>8.09737131117492E-15-0.853553390593274i</v>
      </c>
      <c r="H35" t="str">
        <f t="shared" si="37"/>
        <v>0.322964163795491-0.779704464395534i</v>
      </c>
      <c r="I35" t="str">
        <f t="shared" si="4"/>
        <v>0.135299025036551-0.135299025036547i</v>
      </c>
      <c r="J35" t="str">
        <f t="shared" si="5"/>
        <v>-0.583280724798766+0.241602786882446i</v>
      </c>
      <c r="K35" t="str">
        <f t="shared" si="6"/>
        <v>-1-1.89733211780618E-14i</v>
      </c>
      <c r="L35" t="str">
        <f t="shared" si="7"/>
        <v>-0.583280724798758-0.241602786882469i</v>
      </c>
      <c r="M35" t="str">
        <f t="shared" si="8"/>
        <v>0.135299025036546+0.135299025036552i</v>
      </c>
      <c r="N35" t="str">
        <f t="shared" si="9"/>
        <v>0.322964163795462+0.779704464395546i</v>
      </c>
      <c r="O35" t="str">
        <f t="shared" si="10"/>
        <v>-2.4102587008128E-14+0.853553390593274i</v>
      </c>
      <c r="P35" t="str">
        <f t="shared" si="11"/>
        <v>-0.0979701080113852+0.236520763468223i</v>
      </c>
      <c r="Q35" t="str">
        <f t="shared" si="12"/>
        <v>0.326640741219105-0.326640741219083i</v>
      </c>
      <c r="R35" t="str">
        <f t="shared" si="13"/>
        <v>0.710729619574812-0.294393847608128i</v>
      </c>
      <c r="S35" t="str">
        <f t="shared" si="14"/>
        <v>0.5+1.89733211780619E-14i</v>
      </c>
      <c r="T35" t="str">
        <f t="shared" si="15"/>
        <v>-0.0574481371366125-0.0237957975350571i</v>
      </c>
      <c r="U35" t="str">
        <f t="shared" si="16"/>
        <v>-0.32664074121908-0.326640741219107i</v>
      </c>
      <c r="V35" t="str">
        <f t="shared" si="17"/>
        <v>-0.172627942061702-0.41676071896997i</v>
      </c>
      <c r="W35" t="str">
        <f t="shared" si="18"/>
        <v>6.97896406880829E-15-0.146446609406726i</v>
      </c>
      <c r="X35" t="str">
        <f t="shared" si="19"/>
        <v>-0.0523661137223897+0.126422981957347i</v>
      </c>
      <c r="Y35" t="str">
        <f t="shared" si="20"/>
        <v>-0.135299025036555+0.135299025036541i</v>
      </c>
      <c r="Z35" t="str">
        <f t="shared" si="21"/>
        <v>-0.0700007576394254+0.0289952631906376i</v>
      </c>
      <c r="AA35" t="str">
        <f t="shared" si="22"/>
        <v>0</v>
      </c>
      <c r="AB35" t="str">
        <f t="shared" si="23"/>
        <v>-0.0700007576394242-0.0289952631906464i</v>
      </c>
      <c r="AC35" t="str">
        <f t="shared" si="24"/>
        <v>-0.135299025036542-0.135299025036559i</v>
      </c>
      <c r="AD35" t="str">
        <f t="shared" si="25"/>
        <v>-0.0523661137223753-0.126422981957354i</v>
      </c>
      <c r="AE35" t="str">
        <f t="shared" si="26"/>
        <v>-9.82257798357689E-15+0.146446609406726i</v>
      </c>
      <c r="AF35" t="str">
        <f t="shared" si="27"/>
        <v>-0.17262794206175+0.416760718969952i</v>
      </c>
      <c r="AG35" t="str">
        <f t="shared" si="28"/>
        <v>-0.326640741219118+0.326640741219071i</v>
      </c>
      <c r="AH35" t="str">
        <f t="shared" si="29"/>
        <v>-0.0574481371366158+0.0237957975350508i</v>
      </c>
      <c r="AI35" t="str">
        <f t="shared" si="30"/>
        <v>-3.26544347117874E-14-6.2828214852928E-14i</v>
      </c>
      <c r="AJ35" s="4">
        <f t="shared" si="31"/>
        <v>-3.2654434711787398E-14</v>
      </c>
      <c r="AK35" s="4">
        <f t="shared" si="32"/>
        <v>-6.2828214852927999E-14</v>
      </c>
      <c r="AL35">
        <f t="shared" si="33"/>
        <v>7.0807462092296934E-14</v>
      </c>
    </row>
    <row r="36" spans="1:38" x14ac:dyDescent="0.25">
      <c r="A36" s="2">
        <v>31</v>
      </c>
      <c r="B36" t="str">
        <f t="shared" si="1"/>
        <v>0.98078528040323+0.195090322016132i</v>
      </c>
      <c r="C36" t="str">
        <f t="shared" si="34"/>
        <v>0.5</v>
      </c>
      <c r="D36" t="str">
        <f t="shared" si="2"/>
        <v>0.754506539754995+0.150080682026103i</v>
      </c>
      <c r="E36" t="str">
        <f t="shared" si="3"/>
        <v>0.426776695296636+0.17677669529664i</v>
      </c>
      <c r="F36" t="str">
        <f t="shared" si="35"/>
        <v>-0.212863063399474-0.142230551765593i</v>
      </c>
      <c r="G36" t="str">
        <f t="shared" si="36"/>
        <v>-0.603553390593266-0.603553390593284i</v>
      </c>
      <c r="H36" t="str">
        <f t="shared" si="37"/>
        <v>-0.468871292984672-0.701715479029308i</v>
      </c>
      <c r="I36" t="str">
        <f t="shared" si="4"/>
        <v>-0.0732233047033593-0.176776695296639i</v>
      </c>
      <c r="J36" t="str">
        <f t="shared" si="5"/>
        <v>0.123168032651905+0.61920751471845i</v>
      </c>
      <c r="K36" t="str">
        <f t="shared" si="6"/>
        <v>-2.99147642421338E-14+i</v>
      </c>
      <c r="L36" t="str">
        <f t="shared" si="7"/>
        <v>-0.123168032651942+0.619207514718444i</v>
      </c>
      <c r="M36" t="str">
        <f t="shared" si="8"/>
        <v>0.0732233047033696-0.176776695296634i</v>
      </c>
      <c r="N36" t="str">
        <f t="shared" si="9"/>
        <v>0.468871292984715-0.70171547902928i</v>
      </c>
      <c r="O36" t="str">
        <f t="shared" si="10"/>
        <v>0.603553390593302-0.603553390593249i</v>
      </c>
      <c r="P36" t="str">
        <f t="shared" si="11"/>
        <v>0.212863063399483-0.142230551765581i</v>
      </c>
      <c r="Q36" t="str">
        <f t="shared" si="12"/>
        <v>-0.426776695296647+0.176776695296615i</v>
      </c>
      <c r="R36" t="str">
        <f t="shared" si="13"/>
        <v>-0.754506539755006+0.150080682026058i</v>
      </c>
      <c r="S36" t="str">
        <f t="shared" si="14"/>
        <v>-0.5-2.99147642421339E-14i</v>
      </c>
      <c r="T36" t="str">
        <f t="shared" si="15"/>
        <v>0.0609866170939206+0.0121309923846325i</v>
      </c>
      <c r="U36" t="str">
        <f t="shared" si="16"/>
        <v>0.426776695296626+0.176776695296666i</v>
      </c>
      <c r="V36" t="str">
        <f t="shared" si="17"/>
        <v>0.375074737810187+0.250616927427988i</v>
      </c>
      <c r="W36" t="str">
        <f t="shared" si="18"/>
        <v>0.103553390593266+0.103553390593282i</v>
      </c>
      <c r="X36" t="str">
        <f t="shared" si="19"/>
        <v>-0.0760238137911253-0.113777677819625i</v>
      </c>
      <c r="Y36" t="str">
        <f t="shared" si="20"/>
        <v>-0.0732233047033485-0.176776695296642i</v>
      </c>
      <c r="Z36" t="str">
        <f t="shared" si="21"/>
        <v>-0.0147816569895442-0.0743124079426272i</v>
      </c>
      <c r="AA36" t="str">
        <f t="shared" si="22"/>
        <v>0</v>
      </c>
      <c r="AB36" t="str">
        <f t="shared" si="23"/>
        <v>0.014781656989558-0.0743124079426268i</v>
      </c>
      <c r="AC36" t="str">
        <f t="shared" si="24"/>
        <v>0.0732233047033815-0.176776695296633i</v>
      </c>
      <c r="AD36" t="str">
        <f t="shared" si="25"/>
        <v>0.0760238137911459-0.113777677819612i</v>
      </c>
      <c r="AE36" t="str">
        <f t="shared" si="26"/>
        <v>-0.103553390593285+0.103553390593263i</v>
      </c>
      <c r="AF36" t="str">
        <f t="shared" si="27"/>
        <v>-0.375074737810235+0.250616927427923i</v>
      </c>
      <c r="AG36" t="str">
        <f t="shared" si="28"/>
        <v>-0.426776695296661+0.176776695296591i</v>
      </c>
      <c r="AH36" t="str">
        <f t="shared" si="29"/>
        <v>-0.0609866170939236+0.0121309923846217i</v>
      </c>
      <c r="AI36" t="str">
        <f t="shared" si="30"/>
        <v>-2.78527201302836E-14-8.63510651871735E-14i</v>
      </c>
      <c r="AJ36" s="4">
        <f t="shared" si="31"/>
        <v>-2.7852720130283599E-14</v>
      </c>
      <c r="AK36" s="4">
        <f t="shared" si="32"/>
        <v>-8.6351065187173504E-14</v>
      </c>
      <c r="AL36">
        <f t="shared" si="33"/>
        <v>9.0731915430103157E-14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2</vt:i4>
      </vt:variant>
    </vt:vector>
  </HeadingPairs>
  <TitlesOfParts>
    <vt:vector size="4" baseType="lpstr">
      <vt:lpstr>Hoja1</vt:lpstr>
      <vt:lpstr>Hoja2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Josimar</dc:creator>
  <cp:lastModifiedBy>Josimar Gutierrez AviÃ±a</cp:lastModifiedBy>
  <dcterms:created xsi:type="dcterms:W3CDTF">2018-10-11T17:43:20Z</dcterms:created>
  <dcterms:modified xsi:type="dcterms:W3CDTF">2025-11-15T23:11:18Z</dcterms:modified>
</cp:coreProperties>
</file>